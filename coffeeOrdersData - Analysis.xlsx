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bin\Downloads\"/>
    </mc:Choice>
  </mc:AlternateContent>
  <xr:revisionPtr revIDLastSave="0" documentId="13_ncr:1_{64E74BA2-3F52-4C6D-8D1F-B1178D7F55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ales" sheetId="26" r:id="rId1"/>
    <sheet name="avgsalespermonth" sheetId="31" r:id="rId2"/>
    <sheet name="salesbycountry" sheetId="29" r:id="rId3"/>
    <sheet name="salesbycountry (2)" sheetId="32" r:id="rId4"/>
    <sheet name="unitpricebycountry" sheetId="30" r:id="rId5"/>
    <sheet name="orders" sheetId="17" r:id="rId6"/>
    <sheet name="customers" sheetId="13" r:id="rId7"/>
    <sheet name="products" sheetId="2" r:id="rId8"/>
  </sheets>
  <definedNames>
    <definedName name="_xlnm._FilterDatabase" localSheetId="5" hidden="1">orders!$A$1:$M$1001</definedName>
    <definedName name="_xlnm._FilterDatabase" localSheetId="7" hidden="1">products!$A$1:$G$49</definedName>
  </definedNames>
  <calcPr calcId="191028"/>
  <pivotCaches>
    <pivotCache cacheId="3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7" l="1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O11" i="17"/>
  <c r="O131" i="17"/>
  <c r="O158" i="17"/>
  <c r="O298" i="17"/>
  <c r="O382" i="17"/>
  <c r="O555" i="17"/>
  <c r="O569" i="17"/>
  <c r="O578" i="17"/>
  <c r="O625" i="17"/>
  <c r="O635" i="17"/>
  <c r="O781" i="17"/>
  <c r="O830" i="17"/>
  <c r="O891" i="17"/>
  <c r="N909" i="17"/>
  <c r="N917" i="17"/>
  <c r="M134" i="17"/>
  <c r="M546" i="17"/>
  <c r="M679" i="17"/>
  <c r="M887" i="17"/>
  <c r="M917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J917" i="17"/>
  <c r="O917" i="17" s="1"/>
  <c r="K917" i="17"/>
  <c r="L917" i="17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</calcChain>
</file>

<file path=xl/sharedStrings.xml><?xml version="1.0" encoding="utf-8"?>
<sst xmlns="http://schemas.openxmlformats.org/spreadsheetml/2006/main" count="11115" uniqueCount="6212">
  <si>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</si>
  <si>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</si>
  <si>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</si>
  <si>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</si>
  <si>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</si>
  <si>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</si>
  <si>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</si>
  <si>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</si>
  <si>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</si>
  <si>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</si>
  <si>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</si>
  <si>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</si>
  <si>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</si>
  <si>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</si>
  <si>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</si>
  <si>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</si>
  <si>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</si>
  <si>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</si>
  <si>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</si>
  <si>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</si>
  <si>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</si>
  <si>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</si>
  <si>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</si>
  <si>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</si>
  <si>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</si>
  <si>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</si>
  <si>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</si>
  <si>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</si>
  <si>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</si>
  <si>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</si>
  <si>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</si>
  <si>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</si>
  <si>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</si>
  <si>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</si>
  <si>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</si>
  <si>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</si>
  <si>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</si>
  <si>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</si>
  <si>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</si>
  <si>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</si>
  <si>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</si>
  <si>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</si>
  <si>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</si>
  <si>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</si>
  <si>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</si>
  <si>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</si>
  <si>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</si>
  <si>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</si>
  <si>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</si>
  <si>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</si>
  <si>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</si>
  <si>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</si>
  <si>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</si>
  <si>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</si>
  <si>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</si>
  <si>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</si>
  <si>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</si>
  <si>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</si>
  <si>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</si>
  <si>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</si>
  <si>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</si>
  <si>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</si>
  <si>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</si>
  <si>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</si>
  <si>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</si>
  <si>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</si>
  <si>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</si>
  <si>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</si>
  <si>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</si>
  <si>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</si>
  <si>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</si>
  <si>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</si>
  <si>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</si>
  <si>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</si>
  <si>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</si>
  <si>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</si>
  <si>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</si>
  <si>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</si>
  <si>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</si>
  <si>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</si>
  <si>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</si>
  <si>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</si>
  <si>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</si>
  <si>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</si>
  <si>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</si>
  <si>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</si>
  <si>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</si>
  <si>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</si>
  <si>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</si>
  <si>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</si>
  <si>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</si>
  <si>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</si>
  <si>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</si>
  <si>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</si>
  <si>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</si>
  <si>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</si>
  <si>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</si>
  <si>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</si>
  <si>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</si>
  <si>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</si>
  <si>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</si>
  <si>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</si>
  <si>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</si>
  <si>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</si>
  <si>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</si>
  <si>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</si>
  <si>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</si>
  <si>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</si>
  <si>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</si>
  <si>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</si>
  <si>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</si>
  <si>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</si>
  <si>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</si>
  <si>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</si>
  <si>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</si>
  <si>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</si>
  <si>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</si>
  <si>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</si>
  <si>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</si>
  <si>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</si>
  <si>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</si>
  <si>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</si>
  <si>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</si>
  <si>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</si>
  <si>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</si>
  <si>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</si>
  <si>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</si>
  <si>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</si>
  <si>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</si>
  <si>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</si>
  <si>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</si>
  <si>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</si>
  <si>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</si>
  <si>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</si>
  <si>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</si>
  <si>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</si>
  <si>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</si>
  <si>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</si>
  <si>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</si>
  <si>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</si>
  <si>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</si>
  <si>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</si>
  <si>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</si>
  <si>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</si>
  <si>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</si>
  <si>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</si>
  <si>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</si>
  <si>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</si>
  <si>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</si>
  <si>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</si>
  <si>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</si>
  <si>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</si>
  <si>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</si>
  <si>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</si>
  <si>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</si>
  <si>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</si>
  <si>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</si>
  <si>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</si>
  <si>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</si>
  <si>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</si>
  <si>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</si>
  <si>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</si>
  <si>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</si>
  <si>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</si>
  <si>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</si>
  <si>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</si>
  <si>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</si>
  <si>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</si>
  <si>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</si>
  <si>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</si>
  <si>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</si>
  <si>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</si>
  <si>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</si>
  <si>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</si>
  <si>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</si>
  <si>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</si>
  <si>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</si>
  <si>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</si>
  <si>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</si>
  <si>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</si>
  <si>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</si>
  <si>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</si>
  <si>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</si>
  <si>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</si>
  <si>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</si>
  <si>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</si>
  <si>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</si>
  <si>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</si>
  <si>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</si>
  <si>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</si>
  <si>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</si>
  <si>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</si>
  <si>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</si>
  <si>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</si>
  <si>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</si>
  <si>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</si>
  <si>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</si>
  <si>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</si>
  <si>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</si>
  <si>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</si>
  <si>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</si>
  <si>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</si>
  <si>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</si>
  <si>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</si>
  <si>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</si>
  <si>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</si>
  <si>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</si>
  <si>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</si>
  <si>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</si>
  <si>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</si>
  <si>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</si>
  <si>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</si>
  <si>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</si>
  <si>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</si>
  <si>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</si>
  <si>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</si>
  <si>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</si>
  <si>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</si>
  <si>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</si>
  <si>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</si>
  <si>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</si>
  <si>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</si>
  <si>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</si>
  <si>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</si>
  <si>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</si>
  <si>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</si>
  <si>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</si>
  <si>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</si>
  <si>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</si>
  <si>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</si>
  <si>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</si>
  <si>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</si>
  <si>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</si>
  <si>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</si>
  <si>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</si>
  <si>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</si>
  <si>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</si>
  <si>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</si>
  <si>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</si>
  <si>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</si>
  <si>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</si>
  <si>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</si>
  <si>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</si>
  <si>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</si>
  <si>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</si>
  <si>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</si>
  <si>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</si>
  <si>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</si>
  <si>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</si>
  <si>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</si>
  <si>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</si>
  <si>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</si>
  <si>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</si>
  <si>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</si>
  <si>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</si>
  <si>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</si>
  <si>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</si>
  <si>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</si>
  <si>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</si>
  <si>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</si>
  <si>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</si>
  <si>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</si>
  <si>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</si>
  <si>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</si>
  <si>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</si>
  <si>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</si>
  <si>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</si>
  <si>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</si>
  <si>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</si>
  <si>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</si>
  <si>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</si>
  <si>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</si>
  <si>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</si>
  <si>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</si>
  <si>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</si>
  <si>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</si>
  <si>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</si>
  <si>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</si>
  <si>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</si>
  <si>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</si>
  <si>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</si>
  <si>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</si>
  <si>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</si>
  <si>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</si>
  <si>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</si>
  <si>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</si>
  <si>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</si>
  <si>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</si>
  <si>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</si>
  <si>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</si>
  <si>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</si>
  <si>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</si>
  <si>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</si>
  <si>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</si>
  <si>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</si>
  <si>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</si>
  <si>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</si>
  <si>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</si>
  <si>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</si>
  <si>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</si>
  <si>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</si>
  <si>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</si>
  <si>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</si>
  <si>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</si>
  <si>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</si>
  <si>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</si>
  <si>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</si>
  <si>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</si>
  <si>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</si>
  <si>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</si>
  <si>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</si>
  <si>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</si>
  <si>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</si>
  <si>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</si>
  <si>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</si>
  <si>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</si>
  <si>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</si>
  <si>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</si>
  <si>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</si>
  <si>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</si>
  <si>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</si>
  <si>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</si>
  <si>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</si>
  <si>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</si>
  <si>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</si>
  <si>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</si>
  <si>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</si>
  <si>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</si>
  <si>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</si>
  <si>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</si>
  <si>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</si>
  <si>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</si>
  <si>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</si>
  <si>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</si>
  <si>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</si>
  <si>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</si>
  <si>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</si>
  <si>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</si>
  <si>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</si>
  <si>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</si>
  <si>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</si>
  <si>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</si>
  <si>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</si>
  <si>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</si>
  <si>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</si>
  <si>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</si>
  <si>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</si>
  <si>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</si>
  <si>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</si>
  <si>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</si>
  <si>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</si>
  <si>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</si>
  <si>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</si>
  <si>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</si>
  <si>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</si>
  <si>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</si>
  <si>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</si>
  <si>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</si>
  <si>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</si>
  <si>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</si>
  <si>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</si>
  <si>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</si>
  <si>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</si>
  <si>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</si>
  <si>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</si>
  <si>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</si>
  <si>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</si>
  <si>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</si>
  <si>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</si>
  <si>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</si>
  <si>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</si>
  <si>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</si>
  <si>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</si>
  <si>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</si>
  <si>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</si>
  <si>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</si>
  <si>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</si>
  <si>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</si>
  <si>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</si>
  <si>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</si>
  <si>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</si>
  <si>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</si>
  <si>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</si>
  <si>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</si>
  <si>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</si>
  <si>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</si>
  <si>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</si>
  <si>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</si>
  <si>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</si>
  <si>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</si>
  <si>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</si>
  <si>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</si>
  <si>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</si>
  <si>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</si>
  <si>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</si>
  <si>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</si>
  <si>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</si>
  <si>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</si>
  <si>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</si>
  <si>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</si>
  <si>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</si>
  <si>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</si>
  <si>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</si>
  <si>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</si>
  <si>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</si>
  <si>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</si>
  <si>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</si>
  <si>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</si>
  <si>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</si>
  <si>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</si>
  <si>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</si>
  <si>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</si>
  <si>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</si>
  <si>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</si>
  <si>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</si>
  <si>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</si>
  <si>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</si>
  <si>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</si>
  <si>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</si>
  <si>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</si>
  <si>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</si>
  <si>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</si>
  <si>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</si>
  <si>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</si>
  <si>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</si>
  <si>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</si>
  <si>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</si>
  <si>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</si>
  <si>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</si>
  <si>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</si>
  <si>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</si>
  <si>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</si>
  <si>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</si>
  <si>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</si>
  <si>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</si>
  <si>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</si>
  <si>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</si>
  <si>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</si>
  <si>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</si>
  <si>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</si>
  <si>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</si>
  <si>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</si>
  <si>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</si>
  <si>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</si>
  <si>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</si>
  <si>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</si>
  <si>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</si>
  <si>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</si>
  <si>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</si>
  <si>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</si>
  <si>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</si>
  <si>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</si>
  <si>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</si>
  <si>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</si>
  <si>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</si>
  <si>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</si>
  <si>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</si>
  <si>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</si>
  <si>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</si>
  <si>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</si>
  <si>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</si>
  <si>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</si>
  <si>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</si>
  <si>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</si>
  <si>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</si>
  <si>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</si>
  <si>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</si>
  <si>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</si>
  <si>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</si>
  <si>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</si>
  <si>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</si>
  <si>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</si>
  <si>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</si>
  <si>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</si>
  <si>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</si>
  <si>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</si>
  <si>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</si>
  <si>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</si>
  <si>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</si>
  <si>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</si>
  <si>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</si>
  <si>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</si>
  <si>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</si>
  <si>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</si>
  <si>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</si>
  <si>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</si>
  <si>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</si>
  <si>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</si>
  <si>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</si>
  <si>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</si>
  <si>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</si>
  <si>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</si>
  <si>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</si>
  <si>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</si>
  <si>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</si>
  <si>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</si>
  <si>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</si>
  <si>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</si>
  <si>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</si>
  <si>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</si>
  <si>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</si>
  <si>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</si>
  <si>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</si>
  <si>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</si>
  <si>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</si>
  <si>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</si>
  <si>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</si>
  <si>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</si>
  <si>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</si>
  <si>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</si>
  <si>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</si>
  <si>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</si>
  <si>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</si>
  <si>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</si>
  <si>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</si>
  <si>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</si>
  <si>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</si>
  <si>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</si>
  <si>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</si>
  <si>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</si>
  <si>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</si>
  <si>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</si>
  <si>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</si>
  <si>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</si>
  <si>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</si>
  <si>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</si>
  <si>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</si>
  <si>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</si>
  <si>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</si>
  <si>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</si>
  <si>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</si>
  <si>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</si>
  <si>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</si>
  <si>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</si>
  <si>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</si>
  <si>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</si>
  <si>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</si>
  <si>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</si>
  <si>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</si>
  <si>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</si>
  <si>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</si>
  <si>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</si>
  <si>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</si>
  <si>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</si>
  <si>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</si>
  <si>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</si>
  <si>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</si>
  <si>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</si>
  <si>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</si>
  <si>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</si>
  <si>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</si>
  <si>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</si>
  <si>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</si>
  <si>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</si>
  <si>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</si>
  <si>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</si>
  <si>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</si>
  <si>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</si>
  <si>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</si>
  <si>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</si>
  <si>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</si>
  <si>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</si>
  <si>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</si>
  <si>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</si>
  <si>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</si>
  <si>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</si>
  <si>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</si>
  <si>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</si>
  <si>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</si>
  <si>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</si>
  <si>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</si>
  <si>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</si>
  <si>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</si>
  <si>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</si>
  <si>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</si>
  <si>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</si>
  <si>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</si>
  <si>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</si>
  <si>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</si>
  <si>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</si>
  <si>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</si>
  <si>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</si>
  <si>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</si>
  <si>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</si>
  <si>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</si>
  <si>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</si>
  <si>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</si>
  <si>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</si>
  <si>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</si>
  <si>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</si>
  <si>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</si>
  <si>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</si>
  <si>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</si>
  <si>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</si>
  <si>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</si>
  <si>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</si>
  <si>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</si>
  <si>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</si>
  <si>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</si>
  <si>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</si>
  <si>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</si>
  <si>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</si>
  <si>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</si>
  <si>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</si>
  <si>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</si>
  <si>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</si>
  <si>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</si>
  <si>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</si>
  <si>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</si>
  <si>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</si>
  <si>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</si>
  <si>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</si>
  <si>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</si>
  <si>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</si>
  <si>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</si>
  <si>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</si>
  <si>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</si>
  <si>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</si>
  <si>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</si>
  <si>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</si>
  <si>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</si>
  <si>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</si>
  <si>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</si>
  <si>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</si>
  <si>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</si>
  <si>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</si>
  <si>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</si>
  <si>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</si>
  <si>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</si>
  <si>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</si>
  <si>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</si>
  <si>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</si>
  <si>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</si>
  <si>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</si>
  <si>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</si>
  <si>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</si>
  <si>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</si>
  <si>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</si>
  <si>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</si>
  <si>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</si>
  <si>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</si>
  <si>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</si>
  <si>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</si>
  <si>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</si>
  <si>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</si>
  <si>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</si>
  <si>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</si>
  <si>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</si>
  <si>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</si>
  <si>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</si>
  <si>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</si>
  <si>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</si>
  <si>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</si>
  <si>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</si>
  <si>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</si>
  <si>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</si>
  <si>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</si>
  <si>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</si>
  <si>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</si>
  <si>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</si>
  <si>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</si>
  <si>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</si>
  <si>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</si>
  <si>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</si>
  <si>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</si>
  <si>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</si>
  <si>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</si>
  <si>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</si>
  <si>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</si>
  <si>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</si>
  <si>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</si>
  <si>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</si>
  <si>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</si>
  <si>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</si>
  <si>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</si>
  <si>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</si>
  <si>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</si>
  <si>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</si>
  <si>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</si>
  <si>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</si>
  <si>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</si>
  <si>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</si>
  <si>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</si>
  <si>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</si>
  <si>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</si>
  <si>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</si>
  <si>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</si>
  <si>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</si>
  <si>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</si>
  <si>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</si>
  <si>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</si>
  <si>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</si>
  <si>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</si>
  <si>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</si>
  <si>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</si>
  <si>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</si>
  <si>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</si>
  <si>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</si>
  <si>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</si>
  <si>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</si>
  <si>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</si>
  <si>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</si>
  <si>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</si>
  <si>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</si>
  <si>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</si>
  <si>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</si>
  <si>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</si>
  <si>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</si>
  <si>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</si>
  <si>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</si>
  <si>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</si>
  <si>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</si>
  <si>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</si>
  <si>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</si>
  <si>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</si>
  <si>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</si>
  <si>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</si>
  <si>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</si>
  <si>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</si>
  <si>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</si>
  <si>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</si>
  <si>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</si>
  <si>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</si>
  <si>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</si>
  <si>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</si>
  <si>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</si>
  <si>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</si>
  <si>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</si>
  <si>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</si>
  <si>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</si>
  <si>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</si>
  <si>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</si>
  <si>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</si>
  <si>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</si>
  <si>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</si>
  <si>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</si>
  <si>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</si>
  <si>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</si>
  <si>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</si>
  <si>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</si>
  <si>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</si>
  <si>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</si>
  <si>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</si>
  <si>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</si>
  <si>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</si>
  <si>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</si>
  <si>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</si>
  <si>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</si>
  <si>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</si>
  <si>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</si>
  <si>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</si>
  <si>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</si>
  <si>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</si>
  <si>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</si>
  <si>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</si>
  <si>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</si>
  <si>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</si>
  <si>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</si>
  <si>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</si>
  <si>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</si>
  <si>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</si>
  <si>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</si>
  <si>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</si>
  <si>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</si>
  <si>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</si>
  <si>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</si>
  <si>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</si>
  <si>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</si>
  <si>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</si>
  <si>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</si>
  <si>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</si>
  <si>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</si>
  <si>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</si>
  <si>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</si>
  <si>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</si>
  <si>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</si>
  <si>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</si>
  <si>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</si>
  <si>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</si>
  <si>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</si>
  <si>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</si>
  <si>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</si>
  <si>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</si>
  <si>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</si>
  <si>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</si>
  <si>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</si>
  <si>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</si>
  <si>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</si>
  <si>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</si>
  <si>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</si>
  <si>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</si>
  <si>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</si>
  <si>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</si>
  <si>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</si>
  <si>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</si>
  <si>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</si>
  <si>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</si>
  <si>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</si>
  <si>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</si>
  <si>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</si>
  <si>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</si>
  <si>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</si>
  <si>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</si>
  <si>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</si>
  <si>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</si>
  <si>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</si>
  <si>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</si>
  <si>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</si>
  <si>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</si>
  <si>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</si>
  <si>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</si>
  <si>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</si>
  <si>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</si>
  <si>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</si>
  <si>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</si>
  <si>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</si>
  <si>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</si>
  <si>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</si>
  <si>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</si>
  <si>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</si>
  <si>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</si>
  <si>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</si>
  <si>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</si>
  <si>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</si>
  <si>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</si>
  <si>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</si>
  <si>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</si>
  <si>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</si>
  <si>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</si>
  <si>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</si>
  <si>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</si>
  <si>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</si>
  <si>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</si>
  <si>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</si>
  <si>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</si>
  <si>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</si>
  <si>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</si>
  <si>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</si>
  <si>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</si>
  <si>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</si>
  <si>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</si>
  <si>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</si>
  <si>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</si>
  <si>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</si>
  <si>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</si>
  <si>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</si>
  <si>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</si>
  <si>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</si>
  <si>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</si>
  <si>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</si>
  <si>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</si>
  <si>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</si>
  <si>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</si>
  <si>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</si>
  <si>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</si>
  <si>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</si>
  <si>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</si>
  <si>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</si>
  <si>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</si>
  <si>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</si>
  <si>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</si>
  <si>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</si>
  <si>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</si>
  <si>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</si>
  <si>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</si>
  <si>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</si>
  <si>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</si>
  <si>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</si>
  <si>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</si>
  <si>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</si>
  <si>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</si>
  <si>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</si>
  <si>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</si>
  <si>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</si>
  <si>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</si>
  <si>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</si>
  <si>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</si>
  <si>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</si>
  <si>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</si>
  <si>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</si>
  <si>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</si>
  <si>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</si>
  <si>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</si>
  <si>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</si>
  <si>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</si>
  <si>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</si>
  <si>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</si>
  <si>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</si>
  <si>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</si>
  <si>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</si>
  <si>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</si>
  <si>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</si>
  <si>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</si>
  <si>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</si>
  <si>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</si>
  <si>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</si>
  <si>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</si>
  <si>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</si>
  <si>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</si>
  <si>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</si>
  <si>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</si>
  <si>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</si>
  <si>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</si>
  <si>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</si>
  <si>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</si>
  <si>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</si>
  <si>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</si>
  <si>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</si>
  <si>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</si>
  <si>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</si>
  <si>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</si>
  <si>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</si>
  <si>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</si>
  <si>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</si>
  <si>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</si>
  <si>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</si>
  <si>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</si>
  <si>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</si>
  <si>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</si>
  <si>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</si>
  <si>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</si>
  <si>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</si>
  <si>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</si>
  <si>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</si>
  <si>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</si>
  <si>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</si>
  <si>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</si>
  <si>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</si>
  <si>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</si>
  <si>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</si>
  <si>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</si>
  <si>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</si>
  <si>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</si>
  <si>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</si>
  <si>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</si>
  <si>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</si>
  <si>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</si>
  <si>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</si>
  <si>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</si>
  <si>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</si>
  <si>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</si>
  <si>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</si>
  <si>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</si>
  <si>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</si>
  <si>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</si>
  <si>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</si>
  <si>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</si>
  <si>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</si>
  <si>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</si>
  <si>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</si>
  <si>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</si>
  <si>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</si>
  <si>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</si>
  <si>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</si>
  <si>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</si>
  <si>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</si>
  <si>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</si>
  <si>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</si>
  <si>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</si>
  <si>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</si>
  <si>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</si>
  <si>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</si>
  <si>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</si>
  <si>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</si>
  <si>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</si>
  <si>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</si>
  <si>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</si>
  <si>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</si>
  <si>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</si>
  <si>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</si>
  <si>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</si>
  <si>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</si>
  <si>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</si>
  <si>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</si>
  <si>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</si>
  <si>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</si>
  <si>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</si>
  <si>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</si>
  <si>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</si>
  <si>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</si>
  <si>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</si>
  <si>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</si>
  <si>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</si>
  <si>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</si>
  <si>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</si>
  <si>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</si>
  <si>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</si>
  <si>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</si>
  <si>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</si>
  <si>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</si>
  <si>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</si>
  <si>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</si>
  <si>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</si>
  <si>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</si>
  <si>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</si>
  <si>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</si>
  <si>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</si>
  <si>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</si>
  <si>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</si>
  <si>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</si>
  <si>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</si>
  <si>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</si>
  <si>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</si>
  <si>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</si>
  <si>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</si>
  <si>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</si>
  <si>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</si>
  <si>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</si>
  <si>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</si>
  <si>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</si>
  <si>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</si>
  <si>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</si>
  <si>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</si>
  <si>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</si>
  <si>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</si>
  <si>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</si>
  <si>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</si>
  <si>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</si>
  <si>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</si>
  <si>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</si>
  <si>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</si>
  <si>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</si>
  <si>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</si>
  <si>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</si>
  <si>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</si>
  <si>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</si>
  <si>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</si>
  <si>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</si>
  <si>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</si>
  <si>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</si>
  <si>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</si>
  <si>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</si>
  <si>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</si>
  <si>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</si>
  <si>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</si>
  <si>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</si>
  <si>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</si>
  <si>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</si>
  <si>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</si>
  <si>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</si>
  <si>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</si>
  <si>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</si>
  <si>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</si>
  <si>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</si>
  <si>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</si>
  <si>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</si>
  <si>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</si>
  <si>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</si>
  <si>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</si>
  <si>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</si>
  <si>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</si>
  <si>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</si>
  <si>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</si>
  <si>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</si>
  <si>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</si>
  <si>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</si>
  <si>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</si>
  <si>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</si>
  <si>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</si>
  <si>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</si>
  <si>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</si>
  <si>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</si>
  <si>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</si>
  <si>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</si>
  <si>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</si>
  <si>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</si>
  <si>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</si>
  <si>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</si>
  <si>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</si>
  <si>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</si>
  <si>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</si>
  <si>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</si>
  <si>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</si>
  <si>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</si>
  <si>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</si>
  <si>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</si>
  <si>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</si>
  <si>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</si>
  <si>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</si>
  <si>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</si>
  <si>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</si>
  <si>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</si>
  <si>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</si>
  <si>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</si>
  <si>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</si>
  <si>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</si>
  <si>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</si>
  <si>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</si>
  <si>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</si>
  <si>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</si>
  <si>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</si>
  <si>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</si>
  <si>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</si>
  <si>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</si>
  <si>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</si>
  <si>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</si>
  <si>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</si>
  <si>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</si>
  <si>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</si>
  <si>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</si>
  <si>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</si>
  <si>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</si>
  <si>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</si>
  <si>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</si>
  <si>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</si>
  <si>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</si>
  <si>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</si>
  <si>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</si>
  <si>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</si>
  <si>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</si>
  <si>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</si>
  <si>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</si>
  <si>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</si>
  <si>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</si>
  <si>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</si>
  <si>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</si>
  <si>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</si>
  <si>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</si>
  <si>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</si>
  <si>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</si>
  <si>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</si>
  <si>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</si>
  <si>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</si>
  <si>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</si>
  <si>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</si>
  <si>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</si>
  <si>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</si>
  <si>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</si>
  <si>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</si>
  <si>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</si>
  <si>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</si>
  <si>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</si>
  <si>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</si>
  <si>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</si>
  <si>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</si>
  <si>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</si>
  <si>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</si>
  <si>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</si>
  <si>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</si>
  <si>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</si>
  <si>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</si>
  <si>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</si>
  <si>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</si>
  <si>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</si>
  <si>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</si>
  <si>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</si>
  <si>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</si>
  <si>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</si>
  <si>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</si>
  <si>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</si>
  <si>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</si>
  <si>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</si>
  <si>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</si>
  <si>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</si>
  <si>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</si>
  <si>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</si>
  <si>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</si>
  <si>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</si>
  <si>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</si>
  <si>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</si>
  <si>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</si>
  <si>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</si>
  <si>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</si>
  <si>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</si>
  <si>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</si>
  <si>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</si>
  <si>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</si>
  <si>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</si>
  <si>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</si>
  <si>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</si>
  <si>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</si>
  <si>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</si>
  <si>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</si>
  <si>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</si>
  <si>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</si>
  <si>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</si>
  <si>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</si>
  <si>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</si>
  <si>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</si>
  <si>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</si>
  <si>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</si>
  <si>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</si>
  <si>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</si>
  <si>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</si>
  <si>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</si>
  <si>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</si>
  <si>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</si>
  <si>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</si>
  <si>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</si>
  <si>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</si>
  <si>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</si>
  <si>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</si>
  <si>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</si>
  <si>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</si>
  <si>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</si>
  <si>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</si>
  <si>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</si>
  <si>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</si>
  <si>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</si>
  <si>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</si>
  <si>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</si>
  <si>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</si>
  <si>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</si>
  <si>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</si>
  <si>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</si>
  <si>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</si>
  <si>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</si>
  <si>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</si>
  <si>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</si>
  <si>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</si>
  <si>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</si>
  <si>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</si>
  <si>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</si>
  <si>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</si>
  <si>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</si>
  <si>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</si>
  <si>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</si>
  <si>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</si>
  <si>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</si>
  <si>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</si>
  <si>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</si>
  <si>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</si>
  <si>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</si>
  <si>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</si>
  <si>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</si>
  <si>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</si>
  <si>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</si>
  <si>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</si>
  <si>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</si>
  <si>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</si>
  <si>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</si>
  <si>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</si>
  <si>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</si>
  <si>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</si>
  <si>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</si>
  <si>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</si>
  <si>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</si>
  <si>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</si>
  <si>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</si>
  <si>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</si>
  <si>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</si>
  <si>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</si>
  <si>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</si>
  <si>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</si>
  <si>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</si>
  <si>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</si>
  <si>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</si>
  <si>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</si>
  <si>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</si>
  <si>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</si>
  <si>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</si>
  <si>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</si>
  <si>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</si>
  <si>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</si>
  <si>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</si>
  <si>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</si>
  <si>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</si>
  <si>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</si>
  <si>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</si>
  <si>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</si>
  <si>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</si>
  <si>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</si>
  <si>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</si>
  <si>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</si>
  <si>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</si>
  <si>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</si>
  <si>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</si>
  <si>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</si>
  <si>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</si>
  <si>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</si>
  <si>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</si>
  <si>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</si>
  <si>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</si>
  <si>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</si>
  <si>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</si>
  <si>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</si>
  <si>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</si>
  <si>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</si>
  <si>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</si>
  <si>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</si>
  <si>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</si>
  <si>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</si>
  <si>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</si>
  <si>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</si>
  <si>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</si>
  <si>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</si>
  <si>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</si>
  <si>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</si>
  <si>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</si>
  <si>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</si>
  <si>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</si>
  <si>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</si>
  <si>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</si>
  <si>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</si>
  <si>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</si>
  <si>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</si>
  <si>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</si>
  <si>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</si>
  <si>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</si>
  <si>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</si>
  <si>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</si>
  <si>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</si>
  <si>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</si>
  <si>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</si>
  <si>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</si>
  <si>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</si>
  <si>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</si>
  <si>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</si>
  <si>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</si>
  <si>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</si>
  <si>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</si>
  <si>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</si>
  <si>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</si>
  <si>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</si>
  <si>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</si>
  <si>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</si>
  <si>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</si>
  <si>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</si>
  <si>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</si>
  <si>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</si>
  <si>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</si>
  <si>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</si>
  <si>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</si>
  <si>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</si>
  <si>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</si>
  <si>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</si>
  <si>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</si>
  <si>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</si>
  <si>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</si>
  <si>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</si>
  <si>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</si>
  <si>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</si>
  <si>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</si>
  <si>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</si>
  <si>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</si>
  <si>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</si>
  <si>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</si>
  <si>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</si>
  <si>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</si>
  <si>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</si>
  <si>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</si>
  <si>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</si>
  <si>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</si>
  <si>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</si>
  <si>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</si>
  <si>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</si>
  <si>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</si>
  <si>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</si>
  <si>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</si>
  <si>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</si>
  <si>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</si>
  <si>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</si>
  <si>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</si>
  <si>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</si>
  <si>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</si>
  <si>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</si>
  <si>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</si>
  <si>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</si>
  <si>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</si>
  <si>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</si>
  <si>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</si>
  <si>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</si>
  <si>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</si>
  <si>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</si>
  <si>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</si>
  <si>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</si>
  <si>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</si>
  <si>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</si>
  <si>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</si>
  <si>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</si>
  <si>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</si>
  <si>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</si>
  <si>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</si>
  <si>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</si>
  <si>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</si>
  <si>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</si>
  <si>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</si>
  <si>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</si>
  <si>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</si>
  <si>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</si>
  <si>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</si>
  <si>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</si>
  <si>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</si>
  <si>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</si>
  <si>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</si>
  <si>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</si>
  <si>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</si>
  <si>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</si>
  <si>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</si>
  <si>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</si>
  <si>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</si>
  <si>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</si>
  <si>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</si>
  <si>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</si>
  <si>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</si>
  <si>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</si>
  <si>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</si>
  <si>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</si>
  <si>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</si>
  <si>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</si>
  <si>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</si>
  <si>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</si>
  <si>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</si>
  <si>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</si>
  <si>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</si>
  <si>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</si>
  <si>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</si>
  <si>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</si>
  <si>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</si>
  <si>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</si>
  <si>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</si>
  <si>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</si>
  <si>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</si>
  <si>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</si>
  <si>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</si>
  <si>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</si>
  <si>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</si>
  <si>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</si>
  <si>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</si>
  <si>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</si>
  <si>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</si>
  <si>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</si>
  <si>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</si>
  <si>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</si>
  <si>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</si>
  <si>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</si>
  <si>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</si>
  <si>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</si>
  <si>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</si>
  <si>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</si>
  <si>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</si>
  <si>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</si>
  <si>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</si>
  <si>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</si>
  <si>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</si>
  <si>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</si>
  <si>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</si>
  <si>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</si>
  <si>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</si>
  <si>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</si>
  <si>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</si>
  <si>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</si>
  <si>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</si>
  <si>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</si>
  <si>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</si>
  <si>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</si>
  <si>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</si>
  <si>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</si>
  <si>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</si>
  <si>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</si>
  <si>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</si>
  <si>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</si>
  <si>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</si>
  <si>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</si>
  <si>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</si>
  <si>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</si>
  <si>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</si>
  <si>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</si>
  <si>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</si>
  <si>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</si>
  <si>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</si>
  <si>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</si>
  <si>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</si>
  <si>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</si>
  <si>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</si>
  <si>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</si>
  <si>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</si>
  <si>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</si>
  <si>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</si>
  <si>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</si>
  <si>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</si>
  <si>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</si>
  <si>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</si>
  <si>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</si>
  <si>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</si>
  <si>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</si>
  <si>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</si>
  <si>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</si>
  <si>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</si>
  <si>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</si>
  <si>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</si>
  <si>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</si>
  <si>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</si>
  <si>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</si>
  <si>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</si>
  <si>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</si>
  <si>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</si>
  <si>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</si>
  <si>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</si>
  <si>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</si>
  <si>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</si>
  <si>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</si>
  <si>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</si>
  <si>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</si>
  <si>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</si>
  <si>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</si>
  <si>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</si>
  <si>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</si>
  <si>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</si>
  <si>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</si>
  <si>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</si>
  <si>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</si>
  <si>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</si>
  <si>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</si>
  <si>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</si>
  <si>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</si>
  <si>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</si>
  <si>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</si>
  <si>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</si>
  <si>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</si>
  <si>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</si>
  <si>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</si>
  <si>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</si>
  <si>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</si>
  <si>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</si>
  <si>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</si>
  <si>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</si>
  <si>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</si>
  <si>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</si>
  <si>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</si>
  <si>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</si>
  <si>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</si>
  <si>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</si>
  <si>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</si>
  <si>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</si>
  <si>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</si>
  <si>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</si>
  <si>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</si>
  <si>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</si>
  <si>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</si>
  <si>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</si>
  <si>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</si>
  <si>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</si>
  <si>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</si>
  <si>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</si>
  <si>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</si>
  <si>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</si>
  <si>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</si>
  <si>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</si>
  <si>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</si>
  <si>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</si>
  <si>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</si>
  <si>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</si>
  <si>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</si>
  <si>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</si>
  <si>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</si>
  <si>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</si>
  <si>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</si>
  <si>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</si>
  <si>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</si>
  <si>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</si>
  <si>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</si>
  <si>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</si>
  <si>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</si>
  <si>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</si>
  <si>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</si>
  <si>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</si>
  <si>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</si>
  <si>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</si>
  <si>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</si>
  <si>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</si>
  <si>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</si>
  <si>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</si>
  <si>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</si>
  <si>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</si>
  <si>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</si>
  <si>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</si>
  <si>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</si>
  <si>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</si>
  <si>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</si>
  <si>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</si>
  <si>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</si>
  <si>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</si>
  <si>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</si>
  <si>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</si>
  <si>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</si>
  <si>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</si>
  <si>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</si>
  <si>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</si>
  <si>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</si>
  <si>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</si>
  <si>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</si>
  <si>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</si>
  <si>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</si>
  <si>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</si>
  <si>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</si>
  <si>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</si>
  <si>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</si>
  <si>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</si>
  <si>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</si>
  <si>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</si>
  <si>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</si>
  <si>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</si>
  <si>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</si>
  <si>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</si>
  <si>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</si>
  <si>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</si>
  <si>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</si>
  <si>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</si>
  <si>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</si>
  <si>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</si>
  <si>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</si>
  <si>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</si>
  <si>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</si>
  <si>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</si>
  <si>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</si>
  <si>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</si>
  <si>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</si>
  <si>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</si>
  <si>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</si>
  <si>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</si>
  <si>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</si>
  <si>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</si>
  <si>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</si>
  <si>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</si>
  <si>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</si>
  <si>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</si>
  <si>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</si>
  <si>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</si>
  <si>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</si>
  <si>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</si>
  <si>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</si>
  <si>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</si>
  <si>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</si>
  <si>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</si>
  <si>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</si>
  <si>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</si>
  <si>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</si>
  <si>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</si>
  <si>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</si>
  <si>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</si>
  <si>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</si>
  <si>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</si>
  <si>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</si>
  <si>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</si>
  <si>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</si>
  <si>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</si>
  <si>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</si>
  <si>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</si>
  <si>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</si>
  <si>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</si>
  <si>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</si>
  <si>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</si>
  <si>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</si>
  <si>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</si>
  <si>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</si>
  <si>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</si>
  <si>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</si>
  <si>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</si>
  <si>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</si>
  <si>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</si>
  <si>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</si>
  <si>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</si>
  <si>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</si>
  <si>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</si>
  <si>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</si>
  <si>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</si>
  <si>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</si>
  <si>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</si>
  <si>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</si>
  <si>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</si>
  <si>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</si>
  <si>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</si>
  <si>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</si>
  <si>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</si>
  <si>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</si>
  <si>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</si>
  <si>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</si>
  <si>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</si>
  <si>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</si>
  <si>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</si>
  <si>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</si>
  <si>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</si>
  <si>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</si>
  <si>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</si>
  <si>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</si>
  <si>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</si>
  <si>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</si>
  <si>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</si>
  <si>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</si>
  <si>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</si>
  <si>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</si>
  <si>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</si>
  <si>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</si>
  <si>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</si>
  <si>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</si>
  <si>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</si>
  <si>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</si>
  <si>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</si>
  <si>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</si>
  <si>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</si>
  <si>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</si>
  <si>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</si>
  <si>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</si>
  <si>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</si>
  <si>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</si>
  <si>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</si>
  <si>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</si>
  <si>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</si>
  <si>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</si>
  <si>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</si>
  <si>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</si>
  <si>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</si>
  <si>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</si>
  <si>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</si>
  <si>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</si>
  <si>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</si>
  <si>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</si>
  <si>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</si>
  <si>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</si>
  <si>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</si>
  <si>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</si>
  <si>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</si>
  <si>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</si>
  <si>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</si>
  <si>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</si>
  <si>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</si>
  <si>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</si>
  <si>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</si>
  <si>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</si>
  <si>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</si>
  <si>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</si>
  <si>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</si>
  <si>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</si>
  <si>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</si>
  <si>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</si>
  <si>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</si>
  <si>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</si>
  <si>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</si>
  <si>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</si>
  <si>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</si>
  <si>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</si>
  <si>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</si>
  <si>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</si>
  <si>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</si>
  <si>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</si>
  <si>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</si>
  <si>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</si>
  <si>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</si>
  <si>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</si>
  <si>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</si>
  <si>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</si>
  <si>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</si>
  <si>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</si>
  <si>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</si>
  <si>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</si>
  <si>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</si>
  <si>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</si>
  <si>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</si>
  <si>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</si>
  <si>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</si>
  <si>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</si>
  <si>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</si>
  <si>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</si>
  <si>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</si>
  <si>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</si>
  <si>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</si>
  <si>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</si>
  <si>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</si>
  <si>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</si>
  <si>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</si>
  <si>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</si>
  <si>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</si>
  <si>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</si>
  <si>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</si>
  <si>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</si>
  <si>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</si>
  <si>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</si>
  <si>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</si>
  <si>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</si>
  <si>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</si>
  <si>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</si>
  <si>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</si>
  <si>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</si>
  <si>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</si>
  <si>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</si>
  <si>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</si>
  <si>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</si>
  <si>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</si>
  <si>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</si>
  <si>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</si>
  <si>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</si>
  <si>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</si>
  <si>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</si>
  <si>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</si>
  <si>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</si>
  <si>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</si>
  <si>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</si>
  <si>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</si>
  <si>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</si>
  <si>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</si>
  <si>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</si>
  <si>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</si>
  <si>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</si>
  <si>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</si>
  <si>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</si>
  <si>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</si>
  <si>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</si>
  <si>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</si>
  <si>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</si>
  <si>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</si>
  <si>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</si>
  <si>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</si>
  <si>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</si>
  <si>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</si>
  <si>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</si>
  <si>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</si>
  <si>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</si>
  <si>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</si>
  <si>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</si>
  <si>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</si>
  <si>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</si>
  <si>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</si>
  <si>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</si>
  <si>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</si>
  <si>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</si>
  <si>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</si>
  <si>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</si>
  <si>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</si>
  <si>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</si>
  <si>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</si>
  <si>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</si>
  <si>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</si>
  <si>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</si>
  <si>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</si>
  <si>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</si>
  <si>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</si>
  <si>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</si>
  <si>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</si>
  <si>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</si>
  <si>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</si>
  <si>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</si>
  <si>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</si>
  <si>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</si>
  <si>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</si>
  <si>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</si>
  <si>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</si>
  <si>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</si>
  <si>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</si>
  <si>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</si>
  <si>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</si>
  <si>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</si>
  <si>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</si>
  <si>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</si>
  <si>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</si>
  <si>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</si>
  <si>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</si>
  <si>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</si>
  <si>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</si>
  <si>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</si>
  <si>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</si>
  <si>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</si>
  <si>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</si>
  <si>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</si>
  <si>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</si>
  <si>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</si>
  <si>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</si>
  <si>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</si>
  <si>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</si>
  <si>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</si>
  <si>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</si>
  <si>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</si>
  <si>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</si>
  <si>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</si>
  <si>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</si>
  <si>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</si>
  <si>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</si>
  <si>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</si>
  <si>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</si>
  <si>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</si>
  <si>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</si>
  <si>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</si>
  <si>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</si>
  <si>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</si>
  <si>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</si>
  <si>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</si>
  <si>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</si>
  <si>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</si>
  <si>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</si>
  <si>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</si>
  <si>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</si>
  <si>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</si>
  <si>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</si>
  <si>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</si>
  <si>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</si>
  <si>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</si>
  <si>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</si>
  <si>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</si>
  <si>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</si>
  <si>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</si>
  <si>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</si>
  <si>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</si>
  <si>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</si>
  <si>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</si>
  <si>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</si>
  <si>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</si>
  <si>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</si>
  <si>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</si>
  <si>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</si>
  <si>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</si>
  <si>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</si>
  <si>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</si>
  <si>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</si>
  <si>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</si>
  <si>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</si>
  <si>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</si>
  <si>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</si>
  <si>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</si>
  <si>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</si>
  <si>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</si>
  <si>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</si>
  <si>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</si>
  <si>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</si>
  <si>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</si>
  <si>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</si>
  <si>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</si>
  <si>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</si>
  <si>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</si>
  <si>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</si>
  <si>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</si>
  <si>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</si>
  <si>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</si>
  <si>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</si>
  <si>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</si>
  <si>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</si>
  <si>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</si>
  <si>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</si>
  <si>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</si>
  <si>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</si>
  <si>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</si>
  <si>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</si>
  <si>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</si>
  <si>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</si>
  <si>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</si>
  <si>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</si>
  <si>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</si>
  <si>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</si>
  <si>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</si>
  <si>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</si>
  <si>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</si>
  <si>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</si>
  <si>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</si>
  <si>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</si>
  <si>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</si>
  <si>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</si>
  <si>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</si>
  <si>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</si>
  <si>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</si>
  <si>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</si>
  <si>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</si>
  <si>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</si>
  <si>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</si>
  <si>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</si>
  <si>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</si>
  <si>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</si>
  <si>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</si>
  <si>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</si>
  <si>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</si>
  <si>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</si>
  <si>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</si>
  <si>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</si>
  <si>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</si>
  <si>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</si>
  <si>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</si>
  <si>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</si>
  <si>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</si>
  <si>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</si>
  <si>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</si>
  <si>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</si>
  <si>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</si>
  <si>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</si>
  <si>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</si>
  <si>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</si>
  <si>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</si>
  <si>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</si>
  <si>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</si>
  <si>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</si>
  <si>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</si>
  <si>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</si>
  <si>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</si>
  <si>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</si>
  <si>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</si>
  <si>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</si>
  <si>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</si>
  <si>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</si>
  <si>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</si>
  <si>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</si>
  <si>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</si>
  <si>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</si>
  <si>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</si>
  <si>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</si>
  <si>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</si>
  <si>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</si>
  <si>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</si>
  <si>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</si>
  <si>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</si>
  <si>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</si>
  <si>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</si>
  <si>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</si>
  <si>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</si>
  <si>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</si>
  <si>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</si>
  <si>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</si>
  <si>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</si>
  <si>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</si>
  <si>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</si>
  <si>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</si>
  <si>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</si>
  <si>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</si>
  <si>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</si>
  <si>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</si>
  <si>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</si>
  <si>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</si>
  <si>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</si>
  <si>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</si>
  <si>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</si>
  <si>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</si>
  <si>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</si>
  <si>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</si>
  <si>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</si>
  <si>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</si>
  <si>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</si>
  <si>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</si>
  <si>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</si>
  <si>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</si>
  <si>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</si>
  <si>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</si>
  <si>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</si>
  <si>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</si>
  <si>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</si>
  <si>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</si>
  <si>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</si>
  <si>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</si>
  <si>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</si>
  <si>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</si>
  <si>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</si>
  <si>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</si>
  <si>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</si>
  <si>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</si>
  <si>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</si>
  <si>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</si>
  <si>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</si>
  <si>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</si>
  <si>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</si>
  <si>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</si>
  <si>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</si>
  <si>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</si>
  <si>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</si>
  <si>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</si>
  <si>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</si>
  <si>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</si>
  <si>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</si>
  <si>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</si>
  <si>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</si>
  <si>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</si>
  <si>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</si>
  <si>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</si>
  <si>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</si>
  <si>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</si>
  <si>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</si>
  <si>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</si>
  <si>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</si>
  <si>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</si>
  <si>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</si>
  <si>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</si>
  <si>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</si>
  <si>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</si>
  <si>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</si>
  <si>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</si>
  <si>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</si>
  <si>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</si>
  <si>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</si>
  <si>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</si>
  <si>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</si>
  <si>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</si>
  <si>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</si>
  <si>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</si>
  <si>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</si>
  <si>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</si>
  <si>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</si>
  <si>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</si>
  <si>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</si>
  <si>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</si>
  <si>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</si>
  <si>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</si>
  <si>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</si>
  <si>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</si>
  <si>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</si>
  <si>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</si>
  <si>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</si>
  <si>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</si>
  <si>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</si>
  <si>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</si>
  <si>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</si>
  <si>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</si>
  <si>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</si>
  <si>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</si>
  <si>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</si>
  <si>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</si>
  <si>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</si>
  <si>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</si>
  <si>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</si>
  <si>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</si>
  <si>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</si>
  <si>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</si>
  <si>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</si>
  <si>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</si>
  <si>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</si>
  <si>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</si>
  <si>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</si>
  <si>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</si>
  <si>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</si>
  <si>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</si>
  <si>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</si>
  <si>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</si>
  <si>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</si>
  <si>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</si>
  <si>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</si>
  <si>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</si>
  <si>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</si>
  <si>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</si>
  <si>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</si>
  <si>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</si>
  <si>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</si>
  <si>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</si>
  <si>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</si>
  <si>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</si>
  <si>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</si>
  <si>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</si>
  <si>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</si>
  <si>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</si>
  <si>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</si>
  <si>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</si>
  <si>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</si>
  <si>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</si>
  <si>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</si>
  <si>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</si>
  <si>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</si>
  <si>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</si>
  <si>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</si>
  <si>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</si>
  <si>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</si>
  <si>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</si>
  <si>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</si>
  <si>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</si>
  <si>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</si>
  <si>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</si>
  <si>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</si>
  <si>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</si>
  <si>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</si>
  <si>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</si>
  <si>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</si>
  <si>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</si>
  <si>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</si>
  <si>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</si>
  <si>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</si>
  <si>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</si>
  <si>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</si>
  <si>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</si>
  <si>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</si>
  <si>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</si>
  <si>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</si>
  <si>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</si>
  <si>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</si>
  <si>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</si>
  <si>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</si>
  <si>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</si>
  <si>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</si>
  <si>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</si>
  <si>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</si>
  <si>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</si>
  <si>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</si>
  <si>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</si>
  <si>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</si>
  <si>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</si>
  <si>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</si>
  <si>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</si>
  <si>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</si>
  <si>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</si>
  <si>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</si>
  <si>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</si>
  <si>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</si>
  <si>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</si>
  <si>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</si>
  <si>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</si>
  <si>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</si>
  <si>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</si>
  <si>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</si>
  <si>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</si>
  <si>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</si>
  <si>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</si>
  <si>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</si>
  <si>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</si>
  <si>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</si>
  <si>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</si>
  <si>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</si>
  <si>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</si>
  <si>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</si>
  <si>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</si>
  <si>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</si>
  <si>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</si>
  <si>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</si>
  <si>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</si>
  <si>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</si>
  <si>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</si>
  <si>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</si>
  <si>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</si>
  <si>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</si>
  <si>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</si>
  <si>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</si>
  <si>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</si>
  <si>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</si>
  <si>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</si>
  <si>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</si>
  <si>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</si>
  <si>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</si>
  <si>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</si>
  <si>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</si>
  <si>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</si>
  <si>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</si>
  <si>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</si>
  <si>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</si>
  <si>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</si>
  <si>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</si>
  <si>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</si>
  <si>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</si>
  <si>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</si>
  <si>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</si>
  <si>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</si>
  <si>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</si>
  <si>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</si>
  <si>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</si>
  <si>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</si>
  <si>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</si>
  <si>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</si>
  <si>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</si>
  <si>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</si>
  <si>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</si>
  <si>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</si>
  <si>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</si>
  <si>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</si>
  <si>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</si>
  <si>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</si>
  <si>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</si>
  <si>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</si>
  <si>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</si>
  <si>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</si>
  <si>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</si>
  <si>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</si>
  <si>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</si>
  <si>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</si>
  <si>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</si>
  <si>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</si>
  <si>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</si>
  <si>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</si>
  <si>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</si>
  <si>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</si>
  <si>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</si>
  <si>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</si>
  <si>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</si>
  <si>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</si>
  <si>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</si>
  <si>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</si>
  <si>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</si>
  <si>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</si>
  <si>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</si>
  <si>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</si>
  <si>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</si>
  <si>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</si>
  <si>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</si>
  <si>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</si>
  <si>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</si>
  <si>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</si>
  <si>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</si>
  <si>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</si>
  <si>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</si>
  <si>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</si>
  <si>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</si>
  <si>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</si>
  <si>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</si>
  <si>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</si>
  <si>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</si>
  <si>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</si>
  <si>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</si>
  <si>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</si>
  <si>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</si>
  <si>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</si>
  <si>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</si>
  <si>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</si>
  <si>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</si>
  <si>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</si>
  <si>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</si>
  <si>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</si>
  <si>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</si>
  <si>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</si>
  <si>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</si>
  <si>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</si>
  <si>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</si>
  <si>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</si>
  <si>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</si>
  <si>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</si>
  <si>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</si>
  <si>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</si>
  <si>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</si>
  <si>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</si>
  <si>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</si>
  <si>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</si>
  <si>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</si>
  <si>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</si>
  <si>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</si>
  <si>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</si>
  <si>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</si>
  <si>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</si>
  <si>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</si>
  <si>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</si>
  <si>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</si>
  <si>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</si>
  <si>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</si>
  <si>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</si>
  <si>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</si>
  <si>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</si>
  <si>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</si>
  <si>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</si>
  <si>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</si>
  <si>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</si>
  <si>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</si>
  <si>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</si>
  <si>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</si>
  <si>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</si>
  <si>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</si>
  <si>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</si>
  <si>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</si>
  <si>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</si>
  <si>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</si>
  <si>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</si>
  <si>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</si>
  <si>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</si>
  <si>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</si>
  <si>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</si>
  <si>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</si>
  <si>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</si>
  <si>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</si>
  <si>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</si>
  <si>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</si>
  <si>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</si>
  <si>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</si>
  <si>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</si>
  <si>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</si>
  <si>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</si>
  <si>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</si>
  <si>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</si>
  <si>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</si>
  <si>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</si>
  <si>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</si>
  <si>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</si>
  <si>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</si>
  <si>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</si>
  <si>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</si>
  <si>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</si>
  <si>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</si>
  <si>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</si>
  <si>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</si>
  <si>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</si>
  <si>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</si>
  <si>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</si>
  <si>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</si>
  <si>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</si>
  <si>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</si>
  <si>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</si>
  <si>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</si>
  <si>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</si>
  <si>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</si>
  <si>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</si>
  <si>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</si>
  <si>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</si>
  <si>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</si>
  <si>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</si>
  <si>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</si>
  <si>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</si>
  <si>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</si>
  <si>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</si>
  <si>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</si>
  <si>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</si>
  <si>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</si>
  <si>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</si>
  <si>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</si>
  <si>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</si>
  <si>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</si>
  <si>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</si>
  <si>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</si>
  <si>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</si>
  <si>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</si>
  <si>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</si>
  <si>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</si>
  <si>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</si>
  <si>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</si>
  <si>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</si>
  <si>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</si>
  <si>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</si>
  <si>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</si>
  <si>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</si>
  <si>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</si>
  <si>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</si>
  <si>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</si>
  <si>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</si>
  <si>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</si>
  <si>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</si>
  <si>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</si>
  <si>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</si>
  <si>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</si>
  <si>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</si>
  <si>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</si>
  <si>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</si>
  <si>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</si>
  <si>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</si>
  <si>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</si>
  <si>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</si>
  <si>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</si>
  <si>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</si>
  <si>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</si>
  <si>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</si>
  <si>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</si>
  <si>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</si>
  <si>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</si>
  <si>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</si>
  <si>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</si>
  <si>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</si>
  <si>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</si>
  <si>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</si>
  <si>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</si>
  <si>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</si>
  <si>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</si>
  <si>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</si>
  <si>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</si>
  <si>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</si>
  <si>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</si>
  <si>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</si>
  <si>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</si>
  <si>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</si>
  <si>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</si>
  <si>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</si>
  <si>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</si>
  <si>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</si>
  <si>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</si>
  <si>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</si>
  <si>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</si>
  <si>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</si>
  <si>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</si>
  <si>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</si>
  <si>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</si>
  <si>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</si>
  <si>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</si>
  <si>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</si>
  <si>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</si>
  <si>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</si>
  <si>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</si>
  <si>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</si>
  <si>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</si>
  <si>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</si>
  <si>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</si>
  <si>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</si>
  <si>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</si>
  <si>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</si>
  <si>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</si>
  <si>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</si>
  <si>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</si>
  <si>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</si>
  <si>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</si>
  <si>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</si>
  <si>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</si>
  <si>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</si>
  <si>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</si>
  <si>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</si>
  <si>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</si>
  <si>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</si>
  <si>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</si>
  <si>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</si>
  <si>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</si>
  <si>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</si>
  <si>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</si>
  <si>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</si>
  <si>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</si>
  <si>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</si>
  <si>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</si>
  <si>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</si>
  <si>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</si>
  <si>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</si>
  <si>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</si>
  <si>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</si>
  <si>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</si>
  <si>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</si>
  <si>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</si>
  <si>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</si>
  <si>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</si>
  <si>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</si>
  <si>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</si>
  <si>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</si>
  <si>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</si>
  <si>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</si>
  <si>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</si>
  <si>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</si>
  <si>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</si>
  <si>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</si>
  <si>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</si>
  <si>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</si>
  <si>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</si>
  <si>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</si>
  <si>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</si>
  <si>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</si>
  <si>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</si>
  <si>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</si>
  <si>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</si>
  <si>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</si>
  <si>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</si>
  <si>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</si>
  <si>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</si>
  <si>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</si>
  <si>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</si>
  <si>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</si>
  <si>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</si>
  <si>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</si>
  <si>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</si>
  <si>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</si>
  <si>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</si>
  <si>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</si>
  <si>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</si>
  <si>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</si>
  <si>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</si>
  <si>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</si>
  <si>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</si>
  <si>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</si>
  <si>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</si>
  <si>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</si>
  <si>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</si>
  <si>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</si>
  <si>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</si>
  <si>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</si>
  <si>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</si>
  <si>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</si>
  <si>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</si>
  <si>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</si>
  <si>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</si>
  <si>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</si>
  <si>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</si>
  <si>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</si>
  <si>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</si>
  <si>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</si>
  <si>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</si>
  <si>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</si>
  <si>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</si>
  <si>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</si>
  <si>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</si>
  <si>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</si>
  <si>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</si>
  <si>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</si>
  <si>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</si>
  <si>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</si>
  <si>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</si>
  <si>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</si>
  <si>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</si>
  <si>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</si>
  <si>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</si>
  <si>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</si>
  <si>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</si>
  <si>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</si>
  <si>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</si>
  <si>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</si>
  <si>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</si>
  <si>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</si>
  <si>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</si>
  <si>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</si>
  <si>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</si>
  <si>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</si>
  <si>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</si>
  <si>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</si>
  <si>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</si>
  <si>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</si>
  <si>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</si>
  <si>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</si>
  <si>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</si>
  <si>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</si>
  <si>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</si>
  <si>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</si>
  <si>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</si>
  <si>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</si>
  <si>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</si>
  <si>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</si>
  <si>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</si>
  <si>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</si>
  <si>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</si>
  <si>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</si>
  <si>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</si>
  <si>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</si>
  <si>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</si>
  <si>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</si>
  <si>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</si>
  <si>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</si>
  <si>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</si>
  <si>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</si>
  <si>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</si>
  <si>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</si>
  <si>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</si>
  <si>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</si>
  <si>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</si>
  <si>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</si>
  <si>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</si>
  <si>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</si>
  <si>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</si>
  <si>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</si>
  <si>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</si>
  <si>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</si>
  <si>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</si>
  <si>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</si>
  <si>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</si>
  <si>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</si>
  <si>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</si>
  <si>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</si>
  <si>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</si>
  <si>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</si>
  <si>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</si>
  <si>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</si>
  <si>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</si>
  <si>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</si>
  <si>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</si>
  <si>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</si>
  <si>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</si>
  <si>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</si>
  <si>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</si>
  <si>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</si>
  <si>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</si>
  <si>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</si>
  <si>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</si>
  <si>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</si>
  <si>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</si>
  <si>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</si>
  <si>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</si>
  <si>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</si>
  <si>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</si>
  <si>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</si>
  <si>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</si>
  <si>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</si>
  <si>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</si>
  <si>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</si>
  <si>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</si>
  <si>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</si>
  <si>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</si>
  <si>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</si>
  <si>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</si>
  <si>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</si>
  <si>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</si>
  <si>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</si>
  <si>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</si>
  <si>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</si>
  <si>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</si>
  <si>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</si>
  <si>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</si>
  <si>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</si>
  <si>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</si>
  <si>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</si>
  <si>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</si>
  <si>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</si>
  <si>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</si>
  <si>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</si>
  <si>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</si>
  <si>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</si>
  <si>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</si>
  <si>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</si>
  <si>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</si>
  <si>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</si>
  <si>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</si>
  <si>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</si>
  <si>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</si>
  <si>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</si>
  <si>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</si>
  <si>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</si>
  <si>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</si>
  <si>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</si>
  <si>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</si>
  <si>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</si>
  <si>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</si>
  <si>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</si>
  <si>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</si>
  <si>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</si>
  <si>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</si>
  <si>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</si>
  <si>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</si>
  <si>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</si>
  <si>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</si>
  <si>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</si>
  <si>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</si>
  <si>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</si>
  <si>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</si>
  <si>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</si>
  <si>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</si>
  <si>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</si>
  <si>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</si>
  <si>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</si>
  <si>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</si>
  <si>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</si>
  <si>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</si>
  <si>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</si>
  <si>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</si>
  <si>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</si>
  <si>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</si>
  <si>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</si>
  <si>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</si>
  <si>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</si>
  <si>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</si>
  <si>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</si>
  <si>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</si>
  <si>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</si>
  <si>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</si>
  <si>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</si>
  <si>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</si>
  <si>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</si>
  <si>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</si>
  <si>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</si>
  <si>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</si>
  <si>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</si>
  <si>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</si>
  <si>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</si>
  <si>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</si>
  <si>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</si>
  <si>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</si>
  <si>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</si>
  <si>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</si>
  <si>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</si>
  <si>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</si>
  <si>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</si>
  <si>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</si>
  <si>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</si>
  <si>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</si>
  <si>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</si>
  <si>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</si>
  <si>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</si>
  <si>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</si>
  <si>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</si>
  <si>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</si>
  <si>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</si>
  <si>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</si>
  <si>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</si>
  <si>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</si>
  <si>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</si>
  <si>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</si>
  <si>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</si>
  <si>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</si>
  <si>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</si>
  <si>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</si>
  <si>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</si>
  <si>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</si>
  <si>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</si>
  <si>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</si>
  <si>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</si>
  <si>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</si>
  <si>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</si>
  <si>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</si>
  <si>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</si>
  <si>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</si>
  <si>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</si>
  <si>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</si>
  <si>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</si>
  <si>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</si>
  <si>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</si>
  <si>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</si>
  <si>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</si>
  <si>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</si>
  <si>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</si>
  <si>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</si>
  <si>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</si>
  <si>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</si>
  <si>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</si>
  <si>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</si>
  <si>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</si>
  <si>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</si>
  <si>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</si>
  <si>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</si>
  <si>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</si>
  <si>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</si>
  <si>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</si>
  <si>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</si>
  <si>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</si>
  <si>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</si>
  <si>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</si>
  <si>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</si>
  <si>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</si>
  <si>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</si>
  <si>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</si>
  <si>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</si>
  <si>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</si>
  <si>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</si>
  <si>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</si>
  <si>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</si>
  <si>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</si>
  <si>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</si>
  <si>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</si>
  <si>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</si>
  <si>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</si>
  <si>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</si>
  <si>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</si>
  <si>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</si>
  <si>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</si>
  <si>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</si>
  <si>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</si>
  <si>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</si>
  <si>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</si>
  <si>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</si>
  <si>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</si>
  <si>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</si>
  <si>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</si>
  <si>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</si>
  <si>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</si>
  <si>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</si>
  <si>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</si>
  <si>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</si>
  <si>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</si>
  <si>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</si>
  <si>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</si>
  <si>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</si>
  <si>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</si>
  <si>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</si>
  <si>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</si>
  <si>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</si>
  <si>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</si>
  <si>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</si>
  <si>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</si>
  <si>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</si>
  <si>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</si>
  <si>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</si>
  <si>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</si>
  <si>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</si>
  <si>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</si>
  <si>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</si>
  <si>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</si>
  <si>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</si>
  <si>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</si>
  <si>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</si>
  <si>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</si>
  <si>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</si>
  <si>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</si>
  <si>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</si>
  <si>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</si>
  <si>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</si>
  <si>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</si>
  <si>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</si>
  <si>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</si>
  <si>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</si>
  <si>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</si>
  <si>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</si>
  <si>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</si>
  <si>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</si>
  <si>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</si>
  <si>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</si>
  <si>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</si>
  <si>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</si>
  <si>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</si>
  <si>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</si>
  <si>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</si>
  <si>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</si>
  <si>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</si>
  <si>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</si>
  <si>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</si>
  <si>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</si>
  <si>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</si>
  <si>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</si>
  <si>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</si>
  <si>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</si>
  <si>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</si>
  <si>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</si>
  <si>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</si>
  <si>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</si>
  <si>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</si>
  <si>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</si>
  <si>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</si>
  <si>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</si>
  <si>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</si>
  <si>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</si>
  <si>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</si>
  <si>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</si>
  <si>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</si>
  <si>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</si>
  <si>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</si>
  <si>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</si>
  <si>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</si>
  <si>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</si>
  <si>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</si>
  <si>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</si>
  <si>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</si>
  <si>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</si>
  <si>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</si>
  <si>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</si>
  <si>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</si>
  <si>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</si>
  <si>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</si>
  <si>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</si>
  <si>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</si>
  <si>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</si>
  <si>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</si>
  <si>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</si>
  <si>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</si>
  <si>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</si>
  <si>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</si>
  <si>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</si>
  <si>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</si>
  <si>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</si>
  <si>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</si>
  <si>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</si>
  <si>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</si>
  <si>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</si>
  <si>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</si>
  <si>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</si>
  <si>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</si>
  <si>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</si>
  <si>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</si>
  <si>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</si>
  <si>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</si>
  <si>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</si>
  <si>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</si>
  <si>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</si>
  <si>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</si>
  <si>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</si>
  <si>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</si>
  <si>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</si>
  <si>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</si>
  <si>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</si>
  <si>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</si>
  <si>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</si>
  <si>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</si>
  <si>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</si>
  <si>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</si>
  <si>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</si>
  <si>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</si>
  <si>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</si>
  <si>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</si>
  <si>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</si>
  <si>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</si>
  <si>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</si>
  <si>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</si>
  <si>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</si>
  <si>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</si>
  <si>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</si>
  <si>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</si>
  <si>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</si>
  <si>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</si>
  <si>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</si>
  <si>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</si>
  <si>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</si>
  <si>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</si>
  <si>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</si>
  <si>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</si>
  <si>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</si>
  <si>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</si>
  <si>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</si>
  <si>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</si>
  <si>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</si>
  <si>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</si>
  <si>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</si>
  <si>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</si>
  <si>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</si>
  <si>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</si>
  <si>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</si>
  <si>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</si>
  <si>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</si>
  <si>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</si>
  <si>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</si>
  <si>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</si>
  <si>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</si>
  <si>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</si>
  <si>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</si>
  <si>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</si>
  <si>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</si>
  <si>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</si>
  <si>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</si>
  <si>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</si>
  <si>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</si>
  <si>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</si>
  <si>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</si>
  <si>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</si>
  <si>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</si>
  <si>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</si>
  <si>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</si>
  <si>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</si>
  <si>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</si>
  <si>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</si>
  <si>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</si>
  <si>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</si>
  <si>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</si>
  <si>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</si>
  <si>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</si>
  <si>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</si>
  <si>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</si>
  <si>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</si>
  <si>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</si>
  <si>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</si>
  <si>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</si>
  <si>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</si>
  <si>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</si>
  <si>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</si>
  <si>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</si>
  <si>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</si>
  <si>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</si>
  <si>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</si>
  <si>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</si>
  <si>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</si>
  <si>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</si>
  <si>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</si>
  <si>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</si>
  <si>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</si>
  <si>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</si>
  <si>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</si>
  <si>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</si>
  <si>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</si>
  <si>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</si>
  <si>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</si>
  <si>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</si>
  <si>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</si>
  <si>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</si>
  <si>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</si>
  <si>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</si>
  <si>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</si>
  <si>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</si>
  <si>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</si>
  <si>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</si>
  <si>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</si>
  <si>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</si>
  <si>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</si>
  <si>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</si>
  <si>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</si>
  <si>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</si>
  <si>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</si>
  <si>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</si>
  <si>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</si>
  <si>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</si>
  <si>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</si>
  <si>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</si>
  <si>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</si>
  <si>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</si>
  <si>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</si>
  <si>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</si>
  <si>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</si>
  <si>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</si>
  <si>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</si>
  <si>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</si>
  <si>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</si>
  <si>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</si>
  <si>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</si>
  <si>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</si>
  <si>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</si>
  <si>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</si>
  <si>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</si>
  <si>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</si>
  <si>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</si>
  <si>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</si>
  <si>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</si>
  <si>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</si>
  <si>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</si>
  <si>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</si>
  <si>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</si>
  <si>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</si>
  <si>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</si>
  <si>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</si>
  <si>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</si>
  <si>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</si>
  <si>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</si>
  <si>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</si>
  <si>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</si>
  <si>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</si>
  <si>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</si>
  <si>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</si>
  <si>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</si>
  <si>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</si>
  <si>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</si>
  <si>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</si>
  <si>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</si>
  <si>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</si>
  <si>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</si>
  <si>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</si>
  <si>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</si>
  <si>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</si>
  <si>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</si>
  <si>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</si>
  <si>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</si>
  <si>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</si>
  <si>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</si>
  <si>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</si>
  <si>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</si>
  <si>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</si>
  <si>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</si>
  <si>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</si>
  <si>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</si>
  <si>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</si>
  <si>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</si>
  <si>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</si>
  <si>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</si>
  <si>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</si>
  <si>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</si>
  <si>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</si>
  <si>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</si>
  <si>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</si>
  <si>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</si>
  <si>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</si>
  <si>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</si>
  <si>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</si>
  <si>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</si>
  <si>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</si>
  <si>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</si>
  <si>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</si>
  <si>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</si>
  <si>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</si>
  <si>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</si>
  <si>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</si>
  <si>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</si>
  <si>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</si>
  <si>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</si>
  <si>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</si>
  <si>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</si>
  <si>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</si>
  <si>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</si>
  <si>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</si>
  <si>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</si>
  <si>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</si>
  <si>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</si>
  <si>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</si>
  <si>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</si>
  <si>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</si>
  <si>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</si>
  <si>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</si>
  <si>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</si>
  <si>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</si>
  <si>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</si>
  <si>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</si>
  <si>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</si>
  <si>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</si>
  <si>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</si>
  <si>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</si>
  <si>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</si>
  <si>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</si>
  <si>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</si>
  <si>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</si>
  <si>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</si>
  <si>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</si>
  <si>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</si>
  <si>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</si>
  <si>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</si>
  <si>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</si>
  <si>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</si>
  <si>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</si>
  <si>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</si>
  <si>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</si>
  <si>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</si>
  <si>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</si>
  <si>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</si>
  <si>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</si>
  <si>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</si>
  <si>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</si>
  <si>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</si>
  <si>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</si>
  <si>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</si>
  <si>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</si>
  <si>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</si>
  <si>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</si>
  <si>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</si>
  <si>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</si>
  <si>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</si>
  <si>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</si>
  <si>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</si>
  <si>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</si>
  <si>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</si>
  <si>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</si>
  <si>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</si>
  <si>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</si>
  <si>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</si>
  <si>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</si>
  <si>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</si>
  <si>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</si>
  <si>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</si>
  <si>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</si>
  <si>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</si>
  <si>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</si>
  <si>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</si>
  <si>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</si>
  <si>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</si>
  <si>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</si>
  <si>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</si>
  <si>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</si>
  <si>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</si>
  <si>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</si>
  <si>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</si>
  <si>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</si>
  <si>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</si>
  <si>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</si>
  <si>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</si>
  <si>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</si>
  <si>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</si>
  <si>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</si>
  <si>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</si>
  <si>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</si>
  <si>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</si>
  <si>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</si>
  <si>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</si>
  <si>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</si>
  <si>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</si>
  <si>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</si>
  <si>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</si>
  <si>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</si>
  <si>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</si>
  <si>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</si>
  <si>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</si>
  <si>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</si>
  <si>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</si>
  <si>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</si>
  <si>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</si>
  <si>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</si>
  <si>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</si>
  <si>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</si>
  <si>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</si>
  <si>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</si>
  <si>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</si>
  <si>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</si>
  <si>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</si>
  <si>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</si>
  <si>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</si>
  <si>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</si>
  <si>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</si>
  <si>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</si>
  <si>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</si>
  <si>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</si>
  <si>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</si>
  <si>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</si>
  <si>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</si>
  <si>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</si>
  <si>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</si>
  <si>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</si>
  <si>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</si>
  <si>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</si>
  <si>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</si>
  <si>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</si>
  <si>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</si>
  <si>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</si>
  <si>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</si>
  <si>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</si>
  <si>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</si>
  <si>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</si>
  <si>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</si>
  <si>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</si>
  <si>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</si>
  <si>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</si>
  <si>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</si>
  <si>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</si>
  <si>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</si>
  <si>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</si>
  <si>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</si>
  <si>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</si>
  <si>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</si>
  <si>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</si>
  <si>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</si>
  <si>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</si>
  <si>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</si>
  <si>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</si>
  <si>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</si>
  <si>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</si>
  <si>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</si>
  <si>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</si>
  <si>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</si>
  <si>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</si>
  <si>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</si>
  <si>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</si>
  <si>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</si>
  <si>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</si>
  <si>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</si>
  <si>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</si>
  <si>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</si>
  <si>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</si>
  <si>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</si>
  <si>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</si>
  <si>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</si>
  <si>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</si>
  <si>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</si>
  <si>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</si>
  <si>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</si>
  <si>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</si>
  <si>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</si>
  <si>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</si>
  <si>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</si>
  <si>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</si>
  <si>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</si>
  <si>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</si>
  <si>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</si>
  <si>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</si>
  <si>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</si>
  <si>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</si>
  <si>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</si>
  <si>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</si>
  <si>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</si>
  <si>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</si>
  <si>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</si>
  <si>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</si>
  <si>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</si>
  <si>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</si>
  <si>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</si>
  <si>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</si>
  <si>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</si>
  <si>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</si>
  <si>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</si>
  <si>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</si>
  <si>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</si>
  <si>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</si>
  <si>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</si>
  <si>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</si>
  <si>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</si>
  <si>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</si>
  <si>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</si>
  <si>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</si>
  <si>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</si>
  <si>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</si>
  <si>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</si>
  <si>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</si>
  <si>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</si>
  <si>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</si>
  <si>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</si>
  <si>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</si>
  <si>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</si>
  <si>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</si>
  <si>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</si>
  <si>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</si>
  <si>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</si>
  <si>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</si>
  <si>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</si>
  <si>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</si>
  <si>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</si>
  <si>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</si>
  <si>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</si>
  <si>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</si>
  <si>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</si>
  <si>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</si>
  <si>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</si>
  <si>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</si>
  <si>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</si>
  <si>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</si>
  <si>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</si>
  <si>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</si>
  <si>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</si>
  <si>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</si>
  <si>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</si>
  <si>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</si>
  <si>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</si>
  <si>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</si>
  <si>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</si>
  <si>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</si>
  <si>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</si>
  <si>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</si>
  <si>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</si>
  <si>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</si>
  <si>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</si>
  <si>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</si>
  <si>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</si>
  <si>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</si>
  <si>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</si>
  <si>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</si>
  <si>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</si>
  <si>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</si>
  <si>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</si>
  <si>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</si>
  <si>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</si>
  <si>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</si>
  <si>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</si>
  <si>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</si>
  <si>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</si>
  <si>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</si>
  <si>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</si>
  <si>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</si>
  <si>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</si>
  <si>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</si>
  <si>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</si>
  <si>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</si>
  <si>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</si>
  <si>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</si>
  <si>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</si>
  <si>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</si>
  <si>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</si>
  <si>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</si>
  <si>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</si>
  <si>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</si>
  <si>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</si>
  <si>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</si>
  <si>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</si>
  <si>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</si>
  <si>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</si>
  <si>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</si>
  <si>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</si>
  <si>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</si>
  <si>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</si>
  <si>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</si>
  <si>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</si>
  <si>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</si>
  <si>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</si>
  <si>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</si>
  <si>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</si>
  <si>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</si>
  <si>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</si>
  <si>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</si>
  <si>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</si>
  <si>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</si>
  <si>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</si>
  <si>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</si>
  <si>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</si>
  <si>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</si>
  <si>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</si>
  <si>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</si>
  <si>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</si>
  <si>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</si>
  <si>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</si>
  <si>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</si>
  <si>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</si>
  <si>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</si>
  <si>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</si>
  <si>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</si>
  <si>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</si>
  <si>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</si>
  <si>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</si>
  <si>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</si>
  <si>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</si>
  <si>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</si>
  <si>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</si>
  <si>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</si>
  <si>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</si>
  <si>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</si>
  <si>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</si>
  <si>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</si>
  <si>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</si>
  <si>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</si>
  <si>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</si>
  <si>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</si>
  <si>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</si>
  <si>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</si>
  <si>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</si>
  <si>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</si>
  <si>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</si>
  <si>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</si>
  <si>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</si>
  <si>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</si>
  <si>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</si>
  <si>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</si>
  <si>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</si>
  <si>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</si>
  <si>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</si>
  <si>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</si>
  <si>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</si>
  <si>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</si>
  <si>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</si>
  <si>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</si>
  <si>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</si>
  <si>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</si>
  <si>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</si>
  <si>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</si>
  <si>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</si>
  <si>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</si>
  <si>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</si>
  <si>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</si>
  <si>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</si>
  <si>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</si>
  <si>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</si>
  <si>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</si>
  <si>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</si>
  <si>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</si>
  <si>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</si>
  <si>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</si>
  <si>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</si>
  <si>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</si>
  <si>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</si>
  <si>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</si>
  <si>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</si>
  <si>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</si>
  <si>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</si>
  <si>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</si>
  <si>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</si>
  <si>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</si>
  <si>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</si>
  <si>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</si>
  <si>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</si>
  <si>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</si>
  <si>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</si>
  <si>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</si>
  <si>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</si>
  <si>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</si>
  <si>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</si>
  <si>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</si>
  <si>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</si>
  <si>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</si>
  <si>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</si>
  <si>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</si>
  <si>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</si>
  <si>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</si>
  <si>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</si>
  <si>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</si>
  <si>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</si>
  <si>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</si>
  <si>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</si>
  <si>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</si>
  <si>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</si>
  <si>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</si>
  <si>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</si>
  <si>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</si>
  <si>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</si>
  <si>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</si>
  <si>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</si>
  <si>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</si>
  <si>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</si>
  <si>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</si>
  <si>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</si>
  <si>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</si>
  <si>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</si>
  <si>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</si>
  <si>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</si>
  <si>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</si>
  <si>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</si>
  <si>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</si>
  <si>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</si>
  <si>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</si>
  <si>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</si>
  <si>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</si>
  <si>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</si>
  <si>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</si>
  <si>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</si>
  <si>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</si>
  <si>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</si>
  <si>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</si>
  <si>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</si>
  <si>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</si>
  <si>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</si>
  <si>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</si>
  <si>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</si>
  <si>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</si>
  <si>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</si>
  <si>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</si>
  <si>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</si>
  <si>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</si>
  <si>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</si>
  <si>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</si>
  <si>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</si>
  <si>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</si>
  <si>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</si>
  <si>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</si>
  <si>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</si>
  <si>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</si>
  <si>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</si>
  <si>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</si>
  <si>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</si>
  <si>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</si>
  <si>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</si>
  <si>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</si>
  <si>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</si>
  <si>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</si>
  <si>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</si>
  <si>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</si>
  <si>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</si>
  <si>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</si>
  <si>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</si>
  <si>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</si>
  <si>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</si>
  <si>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</si>
  <si>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</si>
  <si>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</si>
  <si>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</si>
  <si>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</si>
  <si>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</si>
  <si>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</si>
  <si>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</si>
  <si>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</si>
  <si>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</si>
  <si>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</si>
  <si>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</si>
  <si>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</si>
  <si>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</si>
  <si>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</si>
  <si>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</si>
  <si>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</si>
  <si>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</si>
  <si>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</si>
  <si>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</si>
  <si>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</si>
  <si>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</si>
  <si>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</si>
  <si>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</si>
  <si>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</si>
  <si>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</si>
  <si>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</si>
  <si>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</si>
  <si>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</si>
  <si>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</si>
  <si>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</si>
  <si>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</si>
  <si>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</si>
  <si>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</si>
  <si>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</si>
  <si>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</si>
  <si>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</si>
  <si>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</si>
  <si>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</si>
  <si>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</si>
  <si>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</si>
  <si>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</si>
  <si>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</si>
  <si>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</si>
  <si>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</si>
  <si>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</si>
  <si>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</si>
  <si>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</si>
  <si>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</si>
  <si>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</si>
  <si>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</si>
  <si>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</si>
  <si>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</si>
  <si>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</si>
  <si>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</si>
  <si>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</si>
  <si>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</si>
  <si>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</si>
  <si>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</si>
  <si>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</si>
  <si>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</si>
  <si>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</si>
  <si>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</si>
  <si>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</si>
  <si>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</si>
  <si>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</si>
  <si>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</si>
  <si>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</si>
  <si>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</si>
  <si>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</si>
  <si>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</si>
  <si>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</si>
  <si>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</si>
  <si>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</si>
  <si>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</si>
  <si>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</si>
  <si>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</si>
  <si>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</si>
  <si>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</si>
  <si>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</si>
  <si>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</si>
  <si>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</si>
  <si>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</si>
  <si>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</si>
  <si>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</si>
  <si>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</si>
  <si>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</si>
  <si>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</si>
  <si>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</si>
  <si>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</si>
  <si>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</si>
  <si>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</si>
  <si>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</si>
  <si>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</si>
  <si>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</si>
  <si>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</si>
  <si>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</si>
  <si>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</si>
  <si>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</si>
  <si>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</si>
  <si>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</si>
  <si>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</si>
  <si>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</si>
  <si>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</si>
  <si>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</si>
  <si>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</si>
  <si>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</si>
  <si>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</si>
  <si>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</si>
  <si>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</si>
  <si>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</si>
  <si>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</si>
  <si>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</si>
  <si>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</si>
  <si>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</si>
  <si>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</si>
  <si>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</si>
  <si>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</si>
  <si>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</si>
  <si>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</si>
  <si>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</si>
  <si>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</si>
  <si>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</si>
  <si>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</si>
  <si>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</si>
  <si>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</si>
  <si>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</si>
  <si>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</si>
  <si>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</si>
  <si>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</si>
  <si>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</si>
  <si>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</si>
  <si>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</si>
  <si>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</si>
  <si>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</si>
  <si>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</si>
  <si>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</si>
  <si>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</si>
  <si>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</si>
  <si>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</si>
  <si>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</si>
  <si>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</si>
  <si>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</si>
  <si>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</si>
  <si>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</si>
  <si>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</si>
  <si>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</si>
  <si>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</si>
  <si>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</si>
  <si>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</si>
  <si>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</si>
  <si>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</si>
  <si>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</si>
  <si>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</si>
  <si>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</si>
  <si>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</si>
  <si>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</si>
  <si>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</si>
  <si>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</si>
  <si>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</si>
  <si>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</si>
  <si>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</si>
  <si>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</si>
  <si>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</si>
  <si>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</si>
  <si>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</si>
  <si>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</si>
  <si>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</si>
  <si>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</si>
  <si>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</si>
  <si>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</si>
  <si>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</si>
  <si>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</si>
  <si>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</si>
  <si>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</si>
  <si>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</si>
  <si>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</si>
  <si>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</si>
  <si>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</si>
  <si>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</si>
  <si>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</si>
  <si>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</si>
  <si>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</si>
  <si>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</si>
  <si>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</si>
  <si>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</si>
  <si>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</si>
  <si>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</si>
  <si>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</si>
  <si>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</si>
  <si>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</si>
  <si>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</si>
  <si>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</si>
  <si>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</si>
  <si>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</si>
  <si>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</si>
  <si>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</si>
  <si>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</si>
  <si>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</si>
  <si>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</si>
  <si>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</si>
  <si>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</si>
  <si>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</si>
  <si>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</si>
  <si>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</si>
  <si>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</si>
  <si>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</si>
  <si>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</si>
  <si>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</si>
  <si>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</si>
  <si>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</si>
  <si>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</si>
  <si>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</si>
  <si>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</si>
  <si>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</si>
  <si>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</si>
  <si>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</si>
  <si>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</si>
  <si>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</si>
  <si>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</si>
  <si>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</si>
  <si>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</si>
  <si>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</si>
  <si>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</si>
  <si>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</si>
  <si>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</si>
  <si>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</si>
  <si>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</si>
  <si>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</si>
  <si>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</si>
  <si>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</si>
  <si>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</si>
  <si>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</si>
  <si>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</si>
  <si>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</si>
  <si>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</si>
  <si>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</si>
  <si>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</si>
  <si>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</si>
  <si>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</si>
  <si>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</si>
  <si>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</si>
  <si>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</si>
  <si>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</si>
  <si>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</si>
  <si>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</si>
  <si>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</si>
  <si>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</si>
  <si>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</si>
  <si>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</si>
  <si>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</si>
  <si>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</si>
  <si>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</si>
  <si>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</si>
  <si>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</si>
  <si>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</si>
  <si>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</si>
  <si>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</si>
  <si>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</si>
  <si>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</si>
  <si>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</si>
  <si>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</si>
  <si>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</si>
  <si>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</si>
  <si>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</si>
  <si>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</si>
  <si>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</si>
  <si>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</si>
  <si>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</si>
  <si>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</si>
  <si>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</si>
  <si>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</si>
  <si>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</si>
  <si>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</si>
  <si>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</si>
  <si>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</si>
  <si>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</si>
  <si>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</si>
  <si>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</si>
  <si>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</si>
  <si>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</si>
  <si>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</si>
  <si>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</si>
  <si>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</si>
  <si>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</si>
  <si>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</si>
  <si>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</si>
  <si>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</si>
  <si>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</si>
  <si>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</si>
  <si>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</si>
  <si>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</si>
  <si>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</si>
  <si>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</si>
  <si>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</si>
  <si>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</si>
  <si>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</si>
  <si>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</si>
  <si>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</si>
  <si>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</si>
  <si>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</si>
  <si>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</si>
  <si>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</si>
  <si>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</si>
  <si>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</si>
  <si>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</si>
  <si>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</si>
  <si>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</si>
  <si>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</si>
  <si>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</si>
  <si>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</si>
  <si>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</si>
  <si>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</si>
  <si>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</si>
  <si>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</si>
  <si>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</si>
  <si>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</si>
  <si>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</si>
  <si>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</si>
  <si>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</si>
  <si>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</si>
  <si>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</si>
  <si>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</si>
  <si>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</si>
  <si>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</si>
  <si>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</si>
  <si>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</si>
  <si>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</si>
  <si>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</si>
  <si>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</si>
  <si>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</si>
  <si>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</si>
  <si>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</si>
  <si>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</si>
  <si>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</si>
  <si>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</si>
  <si>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</si>
  <si>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</si>
  <si>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</si>
  <si>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</si>
  <si>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</si>
  <si>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</si>
  <si>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</si>
  <si>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</si>
  <si>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</si>
  <si>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</si>
  <si>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</si>
  <si>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</si>
  <si>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</si>
  <si>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</si>
  <si>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</si>
  <si>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</si>
  <si>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</si>
  <si>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</si>
  <si>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</si>
  <si>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</si>
  <si>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</si>
  <si>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</si>
  <si>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</si>
  <si>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</si>
  <si>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</si>
  <si>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</si>
  <si>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</si>
  <si>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</si>
  <si>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</si>
  <si>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</si>
  <si>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</si>
  <si>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</si>
  <si>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</si>
  <si>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</si>
  <si>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</si>
  <si>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</si>
  <si>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</si>
  <si>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</si>
  <si>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</si>
  <si>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</si>
  <si>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</si>
  <si>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</si>
  <si>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</si>
  <si>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</si>
  <si>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</si>
  <si>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</si>
  <si>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</si>
  <si>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</si>
  <si>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</si>
  <si>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</si>
  <si>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</si>
  <si>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</si>
  <si>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</si>
  <si>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</si>
  <si>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</si>
  <si>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</si>
  <si>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</si>
  <si>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</si>
  <si>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</si>
  <si>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</si>
  <si>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</si>
  <si>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</si>
  <si>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</si>
  <si>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</si>
  <si>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</si>
  <si>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</si>
  <si>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</si>
  <si>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</si>
  <si>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</si>
  <si>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</si>
  <si>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</si>
  <si>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</si>
  <si>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</si>
  <si>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</si>
  <si>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</si>
  <si>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</si>
  <si>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</si>
  <si>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</si>
  <si>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</si>
  <si>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</si>
  <si>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</si>
  <si>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</si>
  <si>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</si>
  <si>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</si>
  <si>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</si>
  <si>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</si>
  <si>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</si>
  <si>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</si>
  <si>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</si>
  <si>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</si>
  <si>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</si>
  <si>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</si>
  <si>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</si>
  <si>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</si>
  <si>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</si>
  <si>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</si>
  <si>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</si>
  <si>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</si>
  <si>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</si>
  <si>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</si>
  <si>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</si>
  <si>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</si>
  <si>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</si>
  <si>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</si>
  <si>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</si>
  <si>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</si>
  <si>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</si>
  <si>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</si>
  <si>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</si>
  <si>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</si>
  <si>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</si>
  <si>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</si>
  <si>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</si>
  <si>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</si>
  <si>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</si>
  <si>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</si>
  <si>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</si>
  <si>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</si>
  <si>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</si>
  <si>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</si>
  <si>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</si>
  <si>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</si>
  <si>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</si>
  <si>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</si>
  <si>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</si>
  <si>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</si>
  <si>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</si>
  <si>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</si>
  <si>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</si>
  <si>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</si>
  <si>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</si>
  <si>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</si>
  <si>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</si>
  <si>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</si>
  <si>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</si>
  <si>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</si>
  <si>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</si>
  <si>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</si>
  <si>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</si>
  <si>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</si>
  <si>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</si>
  <si>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</si>
  <si>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</si>
  <si>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</si>
  <si>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</si>
  <si>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</si>
  <si>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</si>
  <si>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</si>
  <si>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</si>
  <si>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</si>
  <si>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</si>
  <si>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</si>
  <si>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</si>
  <si>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</si>
  <si>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</si>
  <si>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</si>
  <si>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</si>
  <si>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</si>
  <si>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</si>
  <si>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</si>
  <si>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</si>
  <si>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</si>
  <si>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</si>
  <si>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</si>
  <si>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</si>
  <si>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</si>
  <si>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</si>
  <si>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</si>
  <si>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</si>
  <si>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</si>
  <si>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</si>
  <si>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</si>
  <si>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</si>
  <si>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</si>
  <si>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</si>
  <si>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</si>
  <si>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</si>
  <si>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</si>
  <si>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</si>
  <si>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</si>
  <si>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</si>
  <si>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</si>
  <si>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</si>
  <si>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</si>
  <si>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</si>
  <si>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</si>
  <si>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</si>
  <si>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</si>
  <si>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</si>
  <si>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</si>
  <si>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</si>
  <si>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</si>
  <si>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</si>
  <si>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</si>
  <si>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</si>
  <si>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</si>
  <si>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</si>
  <si>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</si>
  <si>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</si>
  <si>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</si>
  <si>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</si>
  <si>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</si>
  <si>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</si>
  <si>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</si>
  <si>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</si>
  <si>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</si>
  <si>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</si>
  <si>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</si>
  <si>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</si>
  <si>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</si>
  <si>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</si>
  <si>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</si>
  <si>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</si>
  <si>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</si>
  <si>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</si>
  <si>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</si>
  <si>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</si>
  <si>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</si>
  <si>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</si>
  <si>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</si>
  <si>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</si>
  <si>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</si>
  <si>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</si>
  <si>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</si>
  <si>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</si>
  <si>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</si>
  <si>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</si>
  <si>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</si>
  <si>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</si>
  <si>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</si>
  <si>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</si>
  <si>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</si>
  <si>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</si>
  <si>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</si>
  <si>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</si>
  <si>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</si>
  <si>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</si>
  <si>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</si>
  <si>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</si>
  <si>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</si>
  <si>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</si>
  <si>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</si>
  <si>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</si>
  <si>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</si>
  <si>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</si>
  <si>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</si>
  <si>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</si>
  <si>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</si>
  <si>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</si>
  <si>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</si>
  <si>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</si>
  <si>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</si>
  <si>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</si>
  <si>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</si>
  <si>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</si>
  <si>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</si>
  <si>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</si>
  <si>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</si>
  <si>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</si>
  <si>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</si>
  <si>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</si>
  <si>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</si>
  <si>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</si>
  <si>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</si>
  <si>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</si>
  <si>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</si>
  <si>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</si>
  <si>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</si>
  <si>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</si>
  <si>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</si>
  <si>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</si>
  <si>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</si>
  <si>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</si>
  <si>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</si>
  <si>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</si>
  <si>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</si>
  <si>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</si>
  <si>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</si>
  <si>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</si>
  <si>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</si>
  <si>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</si>
  <si>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</si>
  <si>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</si>
  <si>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</si>
  <si>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</si>
  <si>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</si>
  <si>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</si>
  <si>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</si>
  <si>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</si>
  <si>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</si>
  <si>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</si>
  <si>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</si>
  <si>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</si>
  <si>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</si>
  <si>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</si>
  <si>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</si>
  <si>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</si>
  <si>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</si>
  <si>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</si>
  <si>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</si>
  <si>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</si>
  <si>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</si>
  <si>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</si>
  <si>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</si>
  <si>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</si>
  <si>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</si>
  <si>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</si>
  <si>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</si>
  <si>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</si>
  <si>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</si>
  <si>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</si>
  <si>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</si>
  <si>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</si>
  <si>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</si>
  <si>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</si>
  <si>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</si>
  <si>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</si>
  <si>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</si>
  <si>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</si>
  <si>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</si>
  <si>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</si>
  <si>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</si>
  <si>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</si>
  <si>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</si>
  <si>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</si>
  <si>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</si>
  <si>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</si>
  <si>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</si>
  <si>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</si>
  <si>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</si>
  <si>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</si>
  <si>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</si>
  <si>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</si>
  <si>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</si>
  <si>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</si>
  <si>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</si>
  <si>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</si>
  <si>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</si>
  <si>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</si>
  <si>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</si>
  <si>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</si>
  <si>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</si>
  <si>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</si>
  <si>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</si>
  <si>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</si>
  <si>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</si>
  <si>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</si>
  <si>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</si>
  <si>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</si>
  <si>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</si>
  <si>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</si>
  <si>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</si>
  <si>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</si>
  <si>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</si>
  <si>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</si>
  <si>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</si>
  <si>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</si>
  <si>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</si>
  <si>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</si>
  <si>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</si>
  <si>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</si>
  <si>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</si>
  <si>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</si>
  <si>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</si>
  <si>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</si>
  <si>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</si>
  <si>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</si>
  <si>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</si>
  <si>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</si>
  <si>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</si>
  <si>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</si>
  <si>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</si>
  <si>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</si>
  <si>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</si>
  <si>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</si>
  <si>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</si>
  <si>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</si>
  <si>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</si>
  <si>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</si>
  <si>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</si>
  <si>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</si>
  <si>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</si>
  <si>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</si>
  <si>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</si>
  <si>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</si>
  <si>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</si>
  <si>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</si>
  <si>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</si>
  <si>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</si>
  <si>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</si>
  <si>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</si>
  <si>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</si>
  <si>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</si>
  <si>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</si>
  <si>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</si>
  <si>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</si>
  <si>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</si>
  <si>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</si>
  <si>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</si>
  <si>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</si>
  <si>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</si>
  <si>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</si>
  <si>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</si>
  <si>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</si>
  <si>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</si>
  <si>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</si>
  <si>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</si>
  <si>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</si>
  <si>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</si>
  <si>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</si>
  <si>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</si>
  <si>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</si>
  <si>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</si>
  <si>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</si>
  <si>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</si>
  <si>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</si>
  <si>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</si>
  <si>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</si>
  <si>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</si>
  <si>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</si>
  <si>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</si>
  <si>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</si>
  <si>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</si>
  <si>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</si>
  <si>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</si>
  <si>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</si>
  <si>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</si>
  <si>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</si>
  <si>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</si>
  <si>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</si>
  <si>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</si>
  <si>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</si>
  <si>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</si>
  <si>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</si>
  <si>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</si>
  <si>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</si>
  <si>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</si>
  <si>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</si>
  <si>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</si>
  <si>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</si>
  <si>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</si>
  <si>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</si>
  <si>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</si>
  <si>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</si>
  <si>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</si>
  <si>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</si>
  <si>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</si>
  <si>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</si>
  <si>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</si>
  <si>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</si>
  <si>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</si>
  <si>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</si>
  <si>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</si>
  <si>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</si>
  <si>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</si>
  <si>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</si>
  <si>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</si>
  <si>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</si>
  <si>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</si>
  <si>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</si>
  <si>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</si>
  <si>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</si>
  <si>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</si>
  <si>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</si>
  <si>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</si>
  <si>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</si>
  <si>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</si>
  <si>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</si>
  <si>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</si>
  <si>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</si>
  <si>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</si>
  <si>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</si>
  <si>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</si>
  <si>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</si>
  <si>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</si>
  <si>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</si>
  <si>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</si>
  <si>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</si>
  <si>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</si>
  <si>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</si>
  <si>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</si>
  <si>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</si>
  <si>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</si>
  <si>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</si>
  <si>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</si>
  <si>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</si>
  <si>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</si>
  <si>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</si>
  <si>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</si>
  <si>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</si>
  <si>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</si>
  <si>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</si>
  <si>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</si>
  <si>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</si>
  <si>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</si>
  <si>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</si>
  <si>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</si>
  <si>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</si>
  <si>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</si>
  <si>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</si>
  <si>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</si>
  <si>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</si>
  <si>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</si>
  <si>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</si>
  <si>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</si>
  <si>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</si>
  <si>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</si>
  <si>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</si>
  <si>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</si>
  <si>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</si>
  <si>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</si>
  <si>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</si>
  <si>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</si>
  <si>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</si>
  <si>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</si>
  <si>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</si>
  <si>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</si>
  <si>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</si>
  <si>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</si>
  <si>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</si>
  <si>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</si>
  <si>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</si>
  <si>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</si>
  <si>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</si>
  <si>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</si>
  <si>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</si>
  <si>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</si>
  <si>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</si>
  <si>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</si>
  <si>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</si>
  <si>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</si>
  <si>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</si>
  <si>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</si>
  <si>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</si>
  <si>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</si>
  <si>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</si>
  <si>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</si>
  <si>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</si>
  <si>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</si>
  <si>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</si>
  <si>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</si>
  <si>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</si>
  <si>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</si>
  <si>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</si>
  <si>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</si>
  <si>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</si>
  <si>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</si>
  <si>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</si>
  <si>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</si>
  <si>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</si>
  <si>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</si>
  <si>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</si>
  <si>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</si>
  <si>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</si>
  <si>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</si>
  <si>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</si>
  <si>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</si>
  <si>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</si>
  <si>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</si>
  <si>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</si>
  <si>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</si>
  <si>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</si>
  <si>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</si>
  <si>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</si>
  <si>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</si>
  <si>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</si>
  <si>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</si>
  <si>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</si>
  <si>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</si>
  <si>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</si>
  <si>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</si>
  <si>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</si>
  <si>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</si>
  <si>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</si>
  <si>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</si>
  <si>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</si>
  <si>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</si>
  <si>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</si>
  <si>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</si>
  <si>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</si>
  <si>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</si>
  <si>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</si>
  <si>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</si>
  <si>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</si>
  <si>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</si>
  <si>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</si>
  <si>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</si>
  <si>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</si>
  <si>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</si>
  <si>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</si>
  <si>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</si>
  <si>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</si>
  <si>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</si>
  <si>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</si>
  <si>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</si>
  <si>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</si>
  <si>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</si>
  <si>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</si>
  <si>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</si>
  <si>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</si>
  <si>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</si>
  <si>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</si>
  <si>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</si>
  <si>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</si>
  <si>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</si>
  <si>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</si>
  <si>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</si>
  <si>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</si>
  <si>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</si>
  <si>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</si>
  <si>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</si>
  <si>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</si>
  <si>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</si>
  <si>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</si>
  <si>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</si>
  <si>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</si>
  <si>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</si>
  <si>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</si>
  <si>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</si>
  <si>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</si>
  <si>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</si>
  <si>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</si>
  <si>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</si>
  <si>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</si>
  <si>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</si>
  <si>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</si>
  <si>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</si>
  <si>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</si>
  <si>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</si>
  <si>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</si>
  <si>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</si>
  <si>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</si>
  <si>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</si>
  <si>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</si>
  <si>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</si>
  <si>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</si>
  <si>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</si>
  <si>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</si>
  <si>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</si>
  <si>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</si>
  <si>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</si>
  <si>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</si>
  <si>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</si>
  <si>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</si>
  <si>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</si>
  <si>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</si>
  <si>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</si>
  <si>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</si>
  <si>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</si>
  <si>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</si>
  <si>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</si>
  <si>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</si>
  <si>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</si>
  <si>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</si>
  <si>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</si>
  <si>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</si>
  <si>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</si>
  <si>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</si>
  <si>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</si>
  <si>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</si>
  <si>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</si>
  <si>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</si>
  <si>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</si>
  <si>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</si>
  <si>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</si>
  <si>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</si>
  <si>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</si>
  <si>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</si>
  <si>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</si>
  <si>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</si>
  <si>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</si>
  <si>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</si>
  <si>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</si>
  <si>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</si>
  <si>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</si>
  <si>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</si>
  <si>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</si>
  <si>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</si>
  <si>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</si>
  <si>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</si>
  <si>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</si>
  <si>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</si>
  <si>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</si>
  <si>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</si>
  <si>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</si>
  <si>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</si>
  <si>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</si>
  <si>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</si>
  <si>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</si>
  <si>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</si>
  <si>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</si>
  <si>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</si>
  <si>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</si>
  <si>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</si>
  <si>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</si>
  <si>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</si>
  <si>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</si>
  <si>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</si>
  <si>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</si>
  <si>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</si>
  <si>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</si>
  <si>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</si>
  <si>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</si>
  <si>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</si>
  <si>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</si>
  <si>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</si>
  <si>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</si>
  <si>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</si>
  <si>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</si>
  <si>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</si>
  <si>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</si>
  <si>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</si>
  <si>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</si>
  <si>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</si>
  <si>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</si>
  <si>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</si>
  <si>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</si>
  <si>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</si>
  <si>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</si>
  <si>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</si>
  <si>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</si>
  <si>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</si>
  <si>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</si>
  <si>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</si>
  <si>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</si>
  <si>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</si>
  <si>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</si>
  <si>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</si>
  <si>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</si>
  <si>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</si>
  <si>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</si>
  <si>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</si>
  <si>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</si>
  <si>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</si>
  <si>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</si>
  <si>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</si>
  <si>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</si>
  <si>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</si>
  <si>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</si>
  <si>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</si>
  <si>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</si>
  <si>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</si>
  <si>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</si>
  <si>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</si>
  <si>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</si>
  <si>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</si>
  <si>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</si>
  <si>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</si>
  <si>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</si>
  <si>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</si>
  <si>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</si>
  <si>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</si>
  <si>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</si>
  <si>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</si>
  <si>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</si>
  <si>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</si>
  <si>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</si>
  <si>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</si>
  <si>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</si>
  <si>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</si>
  <si>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</si>
  <si>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</si>
  <si>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</si>
  <si>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</si>
  <si>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</si>
  <si>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</si>
  <si>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</si>
  <si>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</si>
  <si>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</si>
  <si>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</si>
  <si>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</si>
  <si>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</si>
  <si>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</si>
  <si>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</si>
  <si>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</si>
  <si>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</si>
  <si>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</si>
  <si>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</si>
  <si>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</si>
  <si>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</si>
  <si>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</si>
  <si>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</si>
  <si>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</si>
  <si>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</si>
  <si>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</si>
  <si>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</si>
  <si>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</si>
  <si>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</si>
  <si>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</si>
  <si>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</si>
  <si>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</si>
  <si>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</si>
  <si>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</si>
  <si>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</si>
  <si>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</si>
  <si>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</si>
  <si>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</si>
  <si>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</si>
  <si>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</si>
  <si>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</si>
  <si>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</si>
  <si>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</si>
  <si>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</si>
  <si>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</si>
  <si>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</si>
  <si>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</si>
  <si>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</si>
  <si>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</si>
  <si>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</si>
  <si>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</si>
  <si>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</si>
  <si>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</si>
  <si>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</si>
  <si>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</si>
  <si>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</si>
  <si>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</si>
  <si>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</si>
  <si>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</si>
  <si>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</si>
  <si>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</si>
  <si>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</si>
  <si>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</si>
  <si>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</si>
  <si>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</si>
  <si>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</si>
  <si>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</si>
  <si>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</si>
  <si>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</si>
  <si>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</si>
  <si>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</si>
  <si>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</si>
  <si>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</si>
  <si>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</si>
  <si>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</si>
  <si>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</si>
  <si>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</si>
  <si>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</si>
  <si>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</si>
  <si>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</si>
  <si>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</si>
  <si>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</si>
  <si>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</si>
  <si>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</si>
  <si>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</si>
  <si>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</si>
  <si>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</si>
  <si>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</si>
  <si>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</si>
  <si>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</si>
  <si>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</si>
  <si>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</si>
  <si>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</si>
  <si>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</si>
  <si>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</si>
  <si>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</si>
  <si>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</si>
  <si>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</si>
  <si>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</si>
  <si>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</si>
  <si>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</si>
  <si>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</si>
  <si>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</si>
  <si>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</si>
  <si>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</si>
  <si>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</si>
  <si>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</si>
  <si>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</si>
  <si>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</si>
  <si>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</si>
  <si>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</si>
  <si>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</si>
  <si>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</si>
  <si>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</si>
  <si>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</si>
  <si>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</si>
  <si>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</si>
  <si>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</si>
  <si>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</si>
  <si>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</si>
  <si>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</si>
  <si>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</si>
  <si>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</si>
  <si>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</si>
  <si>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</si>
  <si>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</si>
  <si>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</si>
  <si>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</si>
  <si>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</si>
  <si>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</si>
  <si>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</si>
  <si>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</si>
  <si>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</si>
  <si>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</si>
  <si>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</si>
  <si>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</si>
  <si>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</si>
  <si>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</si>
  <si>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</si>
  <si>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</si>
  <si>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</si>
  <si>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</si>
  <si>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</si>
  <si>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</si>
  <si>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</si>
  <si>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</si>
  <si>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</si>
  <si>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</si>
  <si>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</si>
  <si>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</si>
  <si>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</si>
  <si>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</si>
  <si>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</si>
  <si>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</si>
  <si>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</si>
  <si>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</si>
  <si>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</si>
  <si>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</si>
  <si>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</si>
  <si>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</si>
  <si>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</si>
  <si>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</si>
  <si>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</si>
  <si>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</si>
  <si>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</si>
  <si>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</si>
  <si>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</si>
  <si>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</si>
  <si>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</si>
  <si>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</si>
  <si>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</si>
  <si>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</si>
  <si>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</si>
  <si>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</si>
  <si>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</si>
  <si>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</si>
  <si>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</si>
  <si>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</si>
  <si>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</si>
  <si>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</si>
  <si>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</si>
  <si>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</si>
  <si>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</si>
  <si>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</si>
  <si>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</si>
  <si>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</si>
  <si>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</si>
  <si>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</si>
  <si>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</si>
  <si>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</si>
  <si>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</si>
  <si>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</si>
  <si>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</si>
  <si>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</si>
  <si>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</si>
  <si>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</si>
  <si>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</si>
  <si>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</si>
  <si>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</si>
  <si>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</si>
  <si>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</si>
  <si>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</si>
  <si>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</si>
  <si>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</si>
  <si>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</si>
  <si>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</si>
  <si>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</si>
  <si>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</si>
  <si>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</si>
  <si>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</si>
  <si>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</si>
  <si>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</si>
  <si>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</si>
  <si>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</si>
  <si>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</si>
  <si>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</si>
  <si>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</si>
  <si>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</si>
  <si>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</si>
  <si>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</si>
  <si>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</si>
  <si>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</si>
  <si>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</si>
  <si>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</si>
  <si>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</si>
  <si>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</si>
  <si>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</si>
  <si>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</si>
  <si>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</si>
  <si>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</si>
  <si>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</si>
  <si>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</si>
  <si>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</si>
  <si>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</si>
  <si>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</si>
  <si>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</si>
  <si>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</si>
  <si>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</si>
  <si>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</si>
  <si>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</si>
  <si>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</si>
  <si>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</si>
  <si>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</si>
  <si>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</si>
  <si>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</si>
  <si>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</si>
  <si>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</si>
  <si>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</si>
  <si>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</si>
  <si>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</si>
  <si>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</si>
  <si>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</si>
  <si>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</si>
  <si>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</si>
  <si>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</si>
  <si>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</si>
  <si>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</si>
  <si>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</si>
  <si>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</si>
  <si>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</si>
  <si>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</si>
  <si>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</si>
  <si>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</si>
  <si>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</si>
  <si>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</si>
  <si>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</si>
  <si>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</si>
  <si>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</si>
  <si>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</si>
  <si>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</si>
  <si>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</si>
  <si>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</si>
  <si>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</si>
  <si>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</si>
  <si>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</si>
  <si>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</si>
  <si>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</si>
  <si>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</si>
  <si>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</si>
  <si>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</si>
  <si>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</si>
  <si>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</si>
  <si>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</si>
  <si>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</si>
  <si>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</si>
  <si>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</si>
  <si>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</si>
  <si>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</si>
  <si>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</si>
  <si>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</si>
  <si>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</si>
  <si>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</si>
  <si>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</si>
  <si>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</si>
  <si>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</si>
  <si>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</si>
  <si>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</si>
  <si>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</si>
  <si>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</si>
  <si>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</si>
  <si>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</si>
  <si>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</si>
  <si>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</si>
  <si>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</si>
  <si>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</si>
  <si>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</si>
  <si>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</si>
  <si>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</si>
  <si>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</si>
  <si>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</si>
  <si>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</si>
  <si>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</si>
  <si>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</si>
  <si>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</si>
  <si>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</si>
  <si>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</si>
  <si>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</si>
  <si>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</si>
  <si>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</si>
  <si>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</si>
  <si>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</si>
  <si>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</si>
  <si>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</si>
  <si>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</si>
  <si>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</si>
  <si>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</si>
  <si>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</si>
  <si>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</si>
  <si>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</si>
  <si>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</si>
  <si>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</si>
  <si>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</si>
  <si>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</si>
  <si>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</si>
  <si>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</si>
  <si>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</si>
  <si>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</si>
  <si>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</si>
  <si>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</si>
  <si>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</si>
  <si>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</si>
  <si>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</si>
  <si>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</si>
  <si>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</si>
  <si>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</si>
  <si>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</si>
  <si>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</si>
  <si>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</si>
  <si>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</si>
  <si>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</si>
  <si>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</si>
  <si>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</si>
  <si>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</si>
  <si>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</si>
  <si>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</si>
  <si>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</si>
  <si>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</si>
  <si>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</si>
  <si>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</si>
  <si>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</si>
  <si>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</si>
  <si>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</si>
  <si>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</si>
  <si>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</si>
  <si>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</si>
  <si>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</si>
  <si>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</si>
  <si>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</si>
  <si>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</si>
  <si>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</si>
  <si>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</si>
  <si>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</si>
  <si>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</si>
  <si>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</si>
  <si>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</si>
  <si>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</si>
  <si>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</si>
  <si>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</si>
  <si>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</si>
  <si>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</si>
  <si>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</si>
  <si>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</si>
  <si>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</si>
  <si>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</si>
  <si>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</si>
  <si>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</si>
  <si>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</si>
  <si>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</si>
  <si>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</si>
  <si>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</si>
  <si>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</si>
  <si>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</si>
  <si>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</si>
  <si>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</si>
  <si>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</si>
  <si>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</si>
  <si>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</si>
  <si>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</si>
  <si>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</si>
  <si>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</si>
  <si>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</si>
  <si>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</si>
  <si>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</si>
  <si>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</si>
  <si>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</si>
  <si>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</si>
  <si>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</si>
  <si>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</si>
  <si>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</si>
  <si>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</si>
  <si>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</si>
  <si>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</si>
  <si>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</si>
  <si>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</si>
  <si>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</si>
  <si>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</si>
  <si>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</si>
  <si>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</si>
  <si>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</si>
  <si>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</si>
  <si>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</si>
  <si>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</si>
  <si>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</si>
  <si>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</si>
  <si>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</si>
  <si>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</si>
  <si>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</si>
  <si>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</si>
  <si>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</si>
  <si>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</si>
  <si>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</si>
  <si>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</si>
  <si>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</si>
  <si>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</si>
  <si>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</si>
  <si>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</si>
  <si>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</si>
  <si>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</si>
  <si>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</si>
  <si>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</si>
  <si>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</si>
  <si>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</si>
  <si>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</si>
  <si>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</si>
  <si>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</si>
  <si>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</si>
  <si>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</si>
  <si>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</si>
  <si>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</si>
  <si>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</si>
  <si>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</si>
  <si>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</si>
  <si>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</si>
  <si>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</si>
  <si>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</si>
  <si>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</si>
  <si>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</si>
  <si>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</si>
  <si>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</si>
  <si>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</si>
  <si>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</si>
  <si>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</si>
  <si>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</si>
  <si>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</si>
  <si>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</si>
  <si>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</si>
  <si>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</si>
  <si>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</si>
  <si>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</si>
  <si>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</si>
  <si>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</si>
  <si>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</si>
  <si>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</si>
  <si>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</si>
  <si>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</si>
  <si>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</si>
  <si>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</si>
  <si>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</si>
  <si>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</si>
  <si>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</si>
  <si>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</si>
  <si>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</si>
  <si>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</si>
  <si>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</si>
  <si>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</si>
  <si>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</si>
  <si>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</si>
  <si>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</si>
  <si>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</si>
  <si>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</si>
  <si>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</si>
  <si>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</si>
  <si>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</si>
  <si>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</si>
  <si>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</si>
  <si>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</si>
  <si>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</si>
  <si>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</si>
  <si>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</si>
  <si>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</si>
  <si>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</si>
  <si>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</si>
  <si>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</si>
  <si>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</si>
  <si>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</si>
  <si>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</si>
  <si>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</si>
  <si>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</si>
  <si>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</si>
  <si>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</si>
  <si>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</si>
  <si>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</si>
  <si>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</si>
  <si>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</si>
  <si>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</si>
  <si>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</si>
  <si>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</si>
  <si>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</si>
  <si>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</si>
  <si>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</si>
  <si>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</si>
  <si>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</si>
  <si>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</si>
  <si>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</si>
  <si>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</si>
  <si>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</si>
  <si>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</si>
  <si>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</si>
  <si>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</si>
  <si>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</si>
  <si>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</si>
  <si>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</si>
  <si>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</si>
  <si>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</si>
  <si>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</si>
  <si>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</si>
  <si>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</si>
  <si>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</si>
  <si>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</si>
  <si>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</si>
  <si>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</si>
  <si>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</si>
  <si>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</si>
  <si>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</si>
  <si>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</si>
  <si>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</si>
  <si>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</si>
  <si>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</si>
  <si>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</si>
  <si>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</si>
  <si>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</si>
  <si>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</si>
  <si>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</si>
  <si>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</si>
  <si>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</si>
  <si>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</si>
  <si>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</si>
  <si>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</si>
  <si>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</si>
  <si>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</si>
  <si>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</si>
  <si>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</si>
  <si>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</si>
  <si>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</si>
  <si>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</si>
  <si>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</si>
  <si>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</si>
  <si>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</si>
  <si>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</si>
  <si>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</si>
  <si>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</si>
  <si>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</si>
  <si>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</si>
  <si>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</si>
  <si>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</si>
  <si>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</si>
  <si>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</si>
  <si>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</si>
  <si>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</si>
  <si>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</si>
  <si>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</si>
  <si>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</si>
  <si>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</si>
  <si>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</si>
  <si>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</si>
  <si>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</si>
  <si>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</si>
  <si>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</si>
  <si>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</si>
  <si>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</si>
  <si>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</si>
  <si>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</si>
  <si>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</si>
  <si>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</si>
  <si>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</si>
  <si>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</si>
  <si>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</si>
  <si>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</si>
  <si>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</si>
  <si>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</si>
  <si>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</si>
  <si>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</si>
  <si>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</si>
  <si>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</si>
  <si>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</si>
  <si>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</si>
  <si>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</si>
  <si>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</si>
  <si>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</si>
  <si>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</si>
  <si>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</si>
  <si>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</si>
  <si>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</si>
  <si>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</si>
  <si>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</si>
  <si>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</si>
  <si>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</si>
  <si>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</si>
  <si>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</si>
  <si>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</si>
  <si>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</si>
  <si>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</si>
  <si>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</si>
  <si>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</si>
  <si>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</si>
  <si>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</si>
  <si>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</si>
  <si>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</si>
  <si>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</si>
  <si>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</si>
  <si>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</si>
  <si>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</si>
  <si>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</si>
  <si>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</si>
  <si>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</si>
  <si>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</si>
  <si>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</si>
  <si>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</si>
  <si>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</si>
  <si>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</si>
  <si>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</si>
  <si>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</si>
  <si>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</si>
  <si>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</si>
  <si>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</si>
  <si>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</si>
  <si>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</si>
  <si>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</si>
  <si>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</si>
  <si>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</si>
  <si>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</si>
  <si>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</si>
  <si>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</si>
  <si>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</si>
  <si>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</si>
  <si>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</si>
  <si>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</si>
  <si>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</si>
  <si>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</si>
  <si>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</si>
  <si>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</si>
  <si>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</si>
  <si>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</si>
  <si>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</si>
  <si>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</si>
  <si>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</si>
  <si>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</si>
  <si>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</si>
  <si>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</si>
  <si>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</si>
  <si>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</si>
  <si>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</si>
  <si>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</si>
  <si>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</si>
  <si>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</si>
  <si>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</si>
  <si>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</si>
  <si>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</si>
  <si>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</si>
  <si>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</si>
  <si>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</si>
  <si>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</si>
  <si>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</si>
  <si>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</si>
  <si>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</si>
  <si>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</si>
  <si>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</si>
  <si>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</si>
  <si>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</si>
  <si>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</si>
  <si>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</si>
  <si>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</si>
  <si>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</si>
  <si>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</si>
  <si>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</si>
  <si>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</si>
  <si>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</si>
  <si>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</si>
  <si>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</si>
  <si>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</si>
  <si>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</si>
  <si>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</si>
  <si>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</si>
  <si>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</si>
  <si>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</si>
  <si>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</si>
  <si>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</si>
  <si>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</si>
  <si>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</si>
  <si>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</si>
  <si>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</si>
  <si>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</si>
  <si>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</si>
  <si>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</si>
  <si>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</si>
  <si>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</si>
  <si>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</si>
  <si>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</si>
  <si>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</si>
  <si>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</si>
  <si>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</si>
  <si>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</si>
  <si>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</si>
  <si>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</si>
  <si>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</si>
  <si>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</si>
  <si>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</si>
  <si>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</si>
  <si>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</si>
  <si>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</si>
  <si>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</si>
  <si>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</si>
  <si>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</si>
  <si>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</si>
  <si>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</si>
  <si>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</si>
  <si>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</si>
  <si>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</si>
  <si>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</si>
  <si>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</si>
  <si>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</si>
  <si>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</si>
  <si>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</si>
  <si>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</si>
  <si>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</si>
  <si>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</si>
  <si>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</si>
  <si>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</si>
  <si>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</si>
  <si>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</si>
  <si>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</si>
  <si>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</si>
  <si>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</si>
  <si>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</si>
  <si>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</si>
  <si>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</si>
  <si>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</si>
  <si>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</si>
  <si>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</si>
  <si>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</si>
  <si>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</si>
  <si>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</si>
  <si>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</si>
  <si>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</si>
  <si>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</si>
  <si>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</si>
  <si>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</si>
  <si>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</si>
  <si>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</si>
  <si>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</si>
  <si>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</si>
  <si>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</si>
  <si>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</si>
  <si>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</si>
  <si>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</si>
  <si>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</si>
  <si>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</si>
  <si>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</si>
  <si>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</si>
  <si>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</si>
  <si>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</si>
  <si>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</si>
  <si>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</si>
  <si>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</si>
  <si>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</si>
  <si>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</si>
  <si>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</si>
  <si>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</si>
  <si>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</si>
  <si>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</si>
  <si>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</si>
  <si>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</si>
  <si>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</si>
  <si>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</si>
  <si>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</si>
  <si>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</si>
  <si>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</si>
  <si>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</si>
  <si>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</si>
  <si>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</si>
  <si>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</si>
  <si>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</si>
  <si>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</si>
  <si>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</si>
  <si>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</si>
  <si>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</si>
  <si>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</si>
  <si>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</si>
  <si>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</si>
  <si>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</si>
  <si>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</si>
  <si>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</si>
  <si>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</si>
  <si>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</si>
  <si>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</si>
  <si>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</si>
  <si>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</si>
  <si>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</si>
  <si>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</si>
  <si>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</si>
  <si>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</si>
  <si>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</si>
  <si>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</si>
  <si>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</si>
  <si>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</si>
  <si>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</si>
  <si>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</si>
  <si>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</si>
  <si>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</si>
  <si>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</si>
  <si>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</si>
  <si>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</si>
  <si>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</si>
  <si>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</si>
  <si>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</si>
  <si>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</si>
  <si>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</si>
  <si>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</si>
  <si>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</si>
  <si>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</si>
  <si>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</si>
  <si>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</si>
  <si>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</si>
  <si>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</si>
  <si>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</si>
  <si>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</si>
  <si>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</si>
  <si>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</si>
  <si>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</si>
  <si>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</si>
  <si>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</si>
  <si>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</si>
  <si>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</si>
  <si>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</si>
  <si>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</si>
  <si>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</si>
  <si>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</si>
  <si>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</si>
  <si>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</si>
  <si>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</si>
  <si>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</si>
  <si>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</si>
  <si>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</si>
  <si>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</si>
  <si>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</si>
  <si>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</si>
  <si>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</si>
  <si>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</si>
  <si>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</si>
  <si>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</si>
  <si>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</si>
  <si>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</si>
  <si>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</si>
  <si>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</si>
  <si>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</si>
  <si>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</si>
  <si>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</si>
  <si>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</si>
  <si>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</si>
  <si>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</si>
  <si>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</si>
  <si>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</si>
  <si>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</si>
  <si>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</si>
  <si>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</si>
  <si>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</si>
  <si>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</si>
  <si>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</si>
  <si>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</si>
  <si>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</si>
  <si>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</si>
  <si>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</si>
  <si>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</si>
  <si>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</si>
  <si>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</si>
  <si>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</si>
  <si>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</si>
  <si>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</si>
  <si>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</si>
  <si>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</si>
  <si>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</si>
  <si>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</si>
  <si>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</si>
  <si>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</si>
  <si>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</si>
  <si>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</si>
  <si>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</si>
  <si>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</si>
  <si>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</si>
  <si>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</si>
  <si>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</si>
  <si>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</si>
  <si>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</si>
  <si>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</si>
  <si>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</si>
  <si>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</si>
  <si>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</si>
  <si>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</si>
  <si>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</si>
  <si>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</si>
  <si>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</si>
  <si>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</si>
  <si>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</si>
  <si>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</si>
  <si>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</si>
  <si>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</si>
  <si>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</si>
  <si>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</si>
  <si>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</si>
  <si>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</si>
  <si>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</si>
  <si>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</si>
  <si>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</si>
  <si>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</si>
  <si>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</si>
  <si>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</si>
  <si>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</si>
  <si>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</si>
  <si>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</si>
  <si>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</si>
  <si>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</si>
  <si>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</si>
  <si>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</si>
  <si>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</si>
  <si>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</si>
  <si>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</si>
  <si>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</si>
  <si>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</si>
  <si>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</si>
  <si>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</si>
  <si>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</si>
  <si>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</si>
  <si>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</si>
  <si>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</si>
  <si>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</si>
  <si>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</si>
  <si>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</si>
  <si>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</si>
  <si>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</si>
  <si>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</si>
  <si>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</si>
  <si>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</si>
  <si>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</si>
  <si>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</si>
  <si>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</si>
  <si>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</si>
  <si>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</si>
  <si>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</si>
  <si>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</si>
  <si>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</si>
  <si>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</si>
  <si>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</si>
  <si>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</si>
  <si>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</si>
  <si>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</si>
  <si>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</si>
  <si>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</si>
  <si>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</si>
  <si>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</si>
  <si>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</si>
  <si>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</si>
  <si>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</si>
  <si>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</si>
  <si>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</si>
  <si>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</si>
  <si>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</si>
  <si>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</si>
  <si>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</si>
  <si>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</si>
  <si>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</si>
  <si>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</si>
  <si>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</si>
  <si>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</si>
  <si>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</si>
  <si>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</si>
  <si>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</si>
  <si>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</si>
  <si>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</si>
  <si>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</si>
  <si>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</si>
  <si>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</si>
  <si>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</si>
  <si>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</si>
  <si>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</si>
  <si>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</si>
  <si>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</si>
  <si>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</si>
  <si>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</si>
  <si>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</si>
  <si>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</si>
  <si>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</si>
  <si>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</si>
  <si>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</si>
  <si>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</si>
  <si>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</si>
  <si>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</si>
  <si>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</si>
  <si>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</si>
  <si>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</si>
  <si>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</si>
  <si>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</si>
  <si>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</si>
  <si>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</si>
  <si>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</si>
  <si>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</si>
  <si>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</si>
  <si>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</si>
  <si>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</si>
  <si>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</si>
  <si>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</si>
  <si>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</si>
  <si>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</si>
  <si>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</si>
  <si>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</si>
  <si>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</si>
  <si>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</si>
  <si>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</si>
  <si>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</si>
  <si>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</si>
  <si>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</si>
  <si>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</si>
  <si>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</si>
  <si>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</si>
  <si>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</si>
  <si>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</si>
  <si>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</si>
  <si>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</si>
  <si>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</si>
  <si>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</si>
  <si>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</si>
  <si>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</si>
  <si>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</si>
  <si>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</si>
  <si>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</si>
  <si>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</si>
  <si>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</si>
  <si>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</si>
  <si>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</si>
  <si>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</si>
  <si>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</si>
  <si>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</si>
  <si>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</si>
  <si>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</si>
  <si>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</si>
  <si>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</si>
  <si>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</si>
  <si>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</si>
  <si>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</si>
  <si>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</si>
  <si>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</si>
  <si>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</si>
  <si>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</si>
  <si>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</si>
  <si>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</si>
  <si>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</si>
  <si>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</si>
  <si>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</si>
  <si>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</si>
  <si>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</si>
  <si>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</si>
  <si>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</si>
  <si>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</si>
  <si>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</si>
  <si>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</si>
  <si>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</si>
  <si>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</si>
  <si>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</si>
  <si>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</si>
  <si>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</si>
  <si>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</si>
  <si>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</si>
  <si>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</si>
  <si>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</si>
  <si>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</si>
  <si>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</si>
  <si>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</si>
  <si>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</si>
  <si>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</si>
  <si>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</si>
  <si>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</si>
  <si>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</si>
  <si>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</si>
  <si>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</si>
  <si>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</si>
  <si>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</si>
  <si>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</si>
  <si>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</si>
  <si>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</si>
  <si>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</si>
  <si>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</si>
  <si>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</si>
  <si>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</si>
  <si>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</si>
  <si>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</si>
  <si>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</si>
  <si>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</si>
  <si>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</si>
  <si>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</si>
  <si>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</si>
  <si>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</si>
  <si>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</si>
  <si>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</si>
  <si>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</si>
  <si>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</si>
  <si>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</si>
  <si>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</si>
  <si>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</si>
  <si>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</si>
  <si>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</si>
  <si>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</si>
  <si>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</si>
  <si>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</si>
  <si>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</si>
  <si>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</si>
  <si>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</si>
  <si>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</si>
  <si>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</si>
  <si>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</si>
  <si>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</si>
  <si>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</si>
  <si>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</si>
  <si>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</si>
  <si>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</si>
  <si>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</si>
  <si>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</si>
  <si>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</si>
  <si>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</si>
  <si>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</si>
  <si>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</si>
  <si>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</si>
  <si>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</si>
  <si>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</si>
  <si>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</si>
  <si>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</si>
  <si>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</si>
  <si>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</si>
  <si>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</si>
  <si>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</si>
  <si>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</si>
  <si>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</si>
  <si>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</si>
  <si>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</si>
  <si>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</si>
  <si>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</si>
  <si>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</si>
  <si>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</si>
  <si>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</si>
  <si>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</si>
  <si>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</si>
  <si>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</si>
  <si>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</si>
  <si>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</si>
  <si>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</si>
  <si>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</si>
  <si>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</si>
  <si>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</si>
  <si>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</si>
  <si>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</si>
  <si>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</si>
  <si>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</si>
  <si>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</si>
  <si>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</si>
  <si>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</si>
  <si>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</si>
  <si>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</si>
  <si>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</si>
  <si>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</si>
  <si>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</si>
  <si>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</si>
  <si>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</si>
  <si>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</si>
  <si>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</si>
  <si>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</si>
  <si>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</si>
  <si>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</si>
  <si>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</si>
  <si>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</si>
  <si>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</si>
  <si>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</si>
  <si>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</si>
  <si>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</si>
  <si>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</si>
  <si>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</si>
  <si>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</si>
  <si>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</si>
  <si>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</si>
  <si>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</si>
  <si>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</si>
  <si>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</si>
  <si>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</si>
  <si>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</si>
  <si>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</si>
  <si>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</si>
  <si>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</si>
  <si>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</si>
  <si>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</si>
  <si>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</si>
  <si>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</si>
  <si>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</si>
  <si>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</si>
  <si>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</si>
  <si>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</si>
  <si>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</si>
  <si>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</si>
  <si>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</si>
  <si>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</si>
  <si>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</si>
  <si>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</si>
  <si>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</si>
  <si>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</si>
  <si>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</si>
  <si>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</si>
  <si>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</si>
  <si>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</si>
  <si>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</si>
  <si>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</si>
  <si>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</si>
  <si>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</si>
  <si>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</si>
  <si>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</si>
  <si>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</si>
  <si>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</si>
  <si>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</si>
  <si>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</si>
  <si>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</si>
  <si>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</si>
  <si>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</si>
  <si>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</si>
  <si>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</si>
  <si>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</si>
  <si>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</si>
  <si>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</si>
  <si>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</si>
  <si>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</si>
  <si>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</si>
  <si>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</si>
  <si>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</si>
  <si>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</si>
  <si>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</si>
  <si>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</si>
  <si>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</si>
  <si>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</si>
  <si>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</si>
  <si>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</si>
  <si>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</si>
  <si>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</si>
  <si>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</si>
  <si>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</si>
  <si>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</si>
  <si>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</si>
  <si>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</si>
  <si>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</si>
  <si>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</si>
  <si>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</si>
  <si>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</si>
  <si>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</si>
  <si>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</si>
  <si>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</si>
  <si>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</si>
  <si>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</si>
  <si>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</si>
  <si>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</si>
  <si>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</si>
  <si>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</si>
  <si>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</si>
  <si>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</si>
  <si>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</si>
  <si>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</si>
  <si>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</si>
  <si>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</si>
  <si>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</si>
  <si>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</si>
  <si>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</si>
  <si>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</si>
  <si>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</si>
  <si>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</si>
  <si>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</si>
  <si>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</si>
  <si>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</si>
  <si>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</si>
  <si>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</si>
  <si>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</si>
  <si>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</si>
  <si>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</si>
  <si>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</si>
  <si>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</si>
  <si>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</si>
  <si>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</si>
  <si>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</si>
  <si>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</si>
  <si>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</si>
  <si>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</si>
  <si>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</si>
  <si>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</si>
  <si>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</si>
  <si>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</si>
  <si>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</si>
  <si>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</si>
  <si>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</si>
  <si>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</si>
  <si>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</si>
  <si>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</si>
  <si>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</si>
  <si>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</si>
  <si>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</si>
  <si>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</si>
  <si>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</si>
  <si>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</si>
  <si>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</si>
  <si>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</si>
  <si>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</si>
  <si>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</si>
  <si>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</si>
  <si>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</si>
  <si>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</si>
  <si>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</si>
  <si>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</si>
  <si>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</si>
  <si>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</si>
  <si>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</si>
  <si>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</si>
  <si>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</si>
  <si>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</si>
  <si>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</si>
  <si>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</si>
  <si>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</si>
  <si>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</si>
  <si>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</si>
  <si>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</si>
  <si>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</si>
  <si>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</si>
  <si>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</si>
  <si>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</si>
  <si>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</si>
  <si>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</si>
  <si>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</si>
  <si>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</si>
  <si>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</si>
  <si>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</si>
  <si>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</si>
  <si>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</si>
  <si>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</si>
  <si>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</si>
  <si>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</si>
  <si>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</si>
  <si>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</si>
  <si>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</si>
  <si>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</si>
  <si>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</si>
  <si>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</si>
  <si>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</si>
  <si>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</si>
  <si>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</si>
  <si>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</si>
  <si>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</si>
  <si>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</si>
  <si>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</si>
  <si>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</si>
  <si>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</si>
  <si>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</si>
  <si>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</si>
  <si>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</si>
  <si>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</si>
  <si>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</si>
  <si>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</si>
  <si>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</si>
  <si>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</si>
  <si>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</si>
  <si>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</si>
  <si>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</si>
  <si>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</si>
  <si>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</si>
  <si>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</si>
  <si>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</si>
  <si>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</si>
  <si>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</si>
  <si>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</si>
  <si>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</si>
  <si>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</si>
  <si>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</si>
  <si>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</si>
  <si>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</si>
  <si>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</si>
  <si>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</si>
  <si>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</si>
  <si>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</si>
  <si>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</si>
  <si>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</si>
  <si>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</si>
  <si>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</si>
  <si>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</si>
  <si>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</si>
  <si>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</si>
  <si>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</si>
  <si>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</si>
  <si>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</si>
  <si>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</si>
  <si>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</si>
  <si>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</si>
  <si>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</si>
  <si>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</si>
  <si>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</si>
  <si>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</si>
  <si>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</si>
  <si>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</si>
  <si>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</si>
  <si>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</si>
  <si>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</si>
  <si>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</si>
  <si>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</si>
  <si>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</si>
  <si>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</si>
  <si>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</si>
  <si>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</si>
  <si>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</si>
  <si>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</si>
  <si>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</si>
  <si>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</si>
  <si>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</si>
  <si>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</si>
  <si>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</si>
  <si>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</si>
  <si>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</si>
  <si>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</si>
  <si>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</si>
  <si>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</si>
  <si>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</si>
  <si>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</si>
  <si>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</si>
  <si>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</si>
  <si>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</si>
  <si>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</si>
  <si>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</si>
  <si>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</si>
  <si>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</si>
  <si>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</si>
  <si>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</si>
  <si>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</si>
  <si>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</si>
  <si>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</si>
  <si>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</si>
  <si>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</si>
  <si>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</si>
  <si>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</si>
  <si>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</si>
  <si>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</si>
  <si>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</si>
  <si>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</si>
  <si>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</si>
  <si>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</si>
  <si>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</si>
  <si>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</si>
  <si>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</si>
  <si>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</si>
  <si>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</si>
  <si>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</si>
  <si>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</si>
  <si>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</si>
  <si>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</si>
  <si>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</si>
  <si>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</si>
  <si>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</si>
  <si>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</si>
  <si>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</si>
  <si>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</si>
  <si>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</si>
  <si>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</si>
  <si>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</si>
  <si>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</si>
  <si>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</si>
  <si>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</si>
  <si>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</si>
  <si>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</si>
  <si>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</si>
  <si>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</si>
  <si>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</si>
  <si>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</si>
  <si>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</si>
  <si>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</si>
  <si>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</si>
  <si>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</si>
  <si>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</si>
  <si>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</si>
  <si>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</si>
  <si>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</si>
  <si>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</si>
  <si>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</si>
  <si>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</si>
  <si>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</si>
  <si>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</si>
  <si>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</si>
  <si>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</si>
  <si>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</si>
  <si>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</si>
  <si>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</si>
  <si>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</si>
  <si>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</si>
  <si>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</si>
  <si>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</si>
  <si>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</si>
  <si>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</si>
  <si>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</si>
  <si>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</si>
  <si>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</si>
  <si>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</si>
  <si>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</si>
  <si>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</si>
  <si>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</si>
  <si>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</si>
  <si>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</si>
  <si>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</si>
  <si>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</si>
  <si>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</si>
  <si>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</si>
  <si>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</si>
  <si>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</si>
  <si>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</si>
  <si>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</si>
  <si>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</si>
  <si>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</si>
  <si>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</si>
  <si>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</si>
  <si>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</si>
  <si>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2021</t>
  </si>
  <si>
    <t>2022</t>
  </si>
  <si>
    <t>Sum of Sales</t>
  </si>
  <si>
    <t>Arabica</t>
  </si>
  <si>
    <t>Excelsa</t>
  </si>
  <si>
    <t>Liberica</t>
  </si>
  <si>
    <t>Robusta</t>
  </si>
  <si>
    <t>2019</t>
  </si>
  <si>
    <t>2020</t>
  </si>
  <si>
    <t>Row Labels</t>
  </si>
  <si>
    <t>Column Labels</t>
  </si>
  <si>
    <t>Dark</t>
  </si>
  <si>
    <t>Light</t>
  </si>
  <si>
    <t>Medium</t>
  </si>
  <si>
    <t>Average of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</si>
</sst>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_-[$$-409]* #,##0.00_ ;_-[$$-409]* \-#,##0.00\ ;_-[$$-409]* &quot;-&quot;??_ ;_-@_ "/>
    <numFmt numFmtId="166" formatCode="0.0\ &quot;Kg&quot;"/>
    <numFmt numFmtId="167" formatCode="dd/mmm/yy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167" fontId="1" fillId="0" borderId="0" xfId="0" applyNumberFormat="1" applyFont="1" applyAlignment="1">
      <alignment vertical="center"/>
    </xf>
    <xf numFmtId="0" fontId="0" fillId="0" borderId="0" xfId="0" pivotButton="1"/>
    <xf numFmtId="0" fontId="2" fillId="0" borderId="0" xfId="0" applyFont="1"/>
    <xf numFmtId="0" fontId="0" fillId="0" borderId="0" xfId="0" applyNumberFormat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31"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169" formatCode="0.0000000"/>
    </dxf>
    <dxf>
      <numFmt numFmtId="1" formatCode="0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7" formatCode="dd/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4"/>
        <color auto="1"/>
        <name val="Calibri"/>
        <family val="2"/>
        <scheme val="minor"/>
      </font>
      <fill>
        <patternFill>
          <bgColor rgb="FF71AE48"/>
        </patternFill>
      </fill>
    </dxf>
    <dxf>
      <font>
        <b/>
        <i val="0"/>
        <color auto="1"/>
        <name val="Calibri"/>
        <family val="2"/>
        <scheme val="minor"/>
      </font>
      <fill>
        <patternFill patternType="solid">
          <fgColor theme="0"/>
          <bgColor rgb="FFE2F0D9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 val="0"/>
        <sz val="14"/>
        <color auto="1"/>
        <name val="Calibri"/>
        <family val="2"/>
        <scheme val="minor"/>
      </font>
      <fill>
        <patternFill>
          <bgColor rgb="FF71AE48"/>
        </patternFill>
      </fill>
    </dxf>
    <dxf>
      <font>
        <b/>
        <i val="0"/>
        <sz val="14"/>
        <color theme="1"/>
        <name val="Calibri"/>
        <family val="2"/>
        <scheme val="minor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  <name val="Calibri"/>
        <family val="2"/>
        <scheme val="minor"/>
      </font>
      <fill>
        <patternFill>
          <bgColor rgb="FF23855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8"/>
        <color theme="0"/>
        <name val="Calibri"/>
        <family val="2"/>
        <scheme val="minor"/>
      </font>
      <fill>
        <patternFill>
          <bgColor rgb="FF48A25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3" defaultTableStyle="TableStyleMedium2" defaultPivotStyle="PivotStyleMedium9">
    <tableStyle name="Slicer Style 1" pivot="0" table="0" count="5" xr9:uid="{41AB6EB1-408B-4969-9115-CE0A07369E97}">
      <tableStyleElement type="wholeTable" dxfId="30"/>
      <tableStyleElement type="headerRow" dxfId="29"/>
    </tableStyle>
    <tableStyle name="Slicer Style 2" pivot="0" table="0" count="4" xr9:uid="{B529E4F0-C7A3-4359-80B8-A6789FA1D9EB}">
      <tableStyleElement type="wholeTable" dxfId="28"/>
      <tableStyleElement type="headerRow" dxfId="27"/>
    </tableStyle>
    <tableStyle name="Timeline Style 1" pivot="0" table="0" count="8" xr9:uid="{67F26151-2F8B-421E-8F4C-22EE4E518A2C}">
      <tableStyleElement type="wholeTable" dxfId="26"/>
      <tableStyleElement type="headerRow" dxfId="25"/>
    </tableStyle>
  </tableStyles>
  <colors>
    <mruColors>
      <color rgb="FF5C84CC"/>
      <color rgb="FFE2F0D9"/>
      <color rgb="FF48D1CC"/>
      <color rgb="FFCDD9EF"/>
      <color rgb="FF8DA9DB"/>
      <color rgb="FF355EA9"/>
      <color rgb="FF2B4D89"/>
      <color rgb="FFAABFE4"/>
      <color rgb="FF264378"/>
      <color rgb="FF49742E"/>
    </mruColors>
  </colors>
  <extLst>
    <ext xmlns:x14="http://schemas.microsoft.com/office/spreadsheetml/2009/9/main" uri="{46F421CA-312F-682f-3DD2-61675219B42D}">
      <x14:dxfs count="5">
        <dxf>
          <font>
            <b/>
            <i val="0"/>
            <sz val="14"/>
            <color theme="0"/>
            <name val="Calibri"/>
            <family val="2"/>
            <scheme val="minor"/>
          </font>
          <fill>
            <patternFill>
              <bgColor rgb="FF5C8D3B"/>
            </patternFill>
          </fill>
        </dxf>
        <dxf>
          <font>
            <b/>
            <i val="0"/>
            <sz val="14"/>
            <name val="Calibri"/>
            <family val="2"/>
            <scheme val="minor"/>
          </font>
          <fill>
            <patternFill>
              <bgColor rgb="FFD4E7C7"/>
            </patternFill>
          </fill>
        </dxf>
        <dxf>
          <font>
            <b/>
            <i val="0"/>
            <sz val="11"/>
            <name val="Calibri"/>
            <family val="2"/>
            <scheme val="minor"/>
          </font>
        </dxf>
        <dxf>
          <font>
            <b val="0"/>
            <i val="0"/>
            <sz val="10"/>
            <name val="Calibri"/>
            <family val="2"/>
            <scheme val="minor"/>
          </font>
          <fill>
            <patternFill>
              <bgColor rgb="FF408842"/>
            </patternFill>
          </fill>
        </dxf>
        <dxf>
          <font>
            <b/>
            <i val="0"/>
            <sz val="11"/>
            <name val="Calibri"/>
            <family val="2"/>
            <scheme val="minor"/>
          </font>
          <fill>
            <patternFill>
              <bgColor rgb="FFD9D9D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</x14:slicerStyleElements>
        </x14:slicerStyle>
        <x14:slicerStyle name="Slicer Style 2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rgb="FFD4E7C7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fgColor theme="0"/>
              <bgColor rgb="FF5C8D3B"/>
            </patternFill>
          </fill>
        </dxf>
        <dxf>
          <font>
            <b/>
            <i val="0"/>
            <sz val="11"/>
            <color auto="1"/>
            <name val="Calibri"/>
            <family val="2"/>
            <scheme val="minor"/>
          </font>
        </dxf>
        <dxf>
          <font>
            <b/>
            <i val="0"/>
            <sz val="11"/>
            <color auto="1"/>
            <name val="Calibri"/>
            <family val="2"/>
            <scheme val="minor"/>
          </font>
        </dxf>
        <dxf>
          <font>
            <b/>
            <i val="0"/>
            <sz val="10"/>
            <color auto="1"/>
            <name val="Calibri"/>
            <family val="2"/>
            <scheme val="minor"/>
          </font>
        </dxf>
        <dxf>
          <font>
            <b/>
            <i val="0"/>
            <sz val="12"/>
            <color auto="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Analysis.xlsx]Totalsales!PivotTable1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 sales</a:t>
            </a:r>
            <a:r>
              <a:rPr lang="en-US" b="1" baseline="0">
                <a:solidFill>
                  <a:sysClr val="windowText" lastClr="000000"/>
                </a:solidFill>
              </a:rPr>
              <a:t> over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Totalsales!$A$4:$A$7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Totalsales!$B$4:$B$7</c:f>
              <c:numCache>
                <c:formatCode>General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9-4ECD-9052-87C9163FA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70832"/>
        <c:axId val="2091065008"/>
      </c:lineChart>
      <c:catAx>
        <c:axId val="20910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65008"/>
        <c:crosses val="autoZero"/>
        <c:auto val="1"/>
        <c:lblAlgn val="ctr"/>
        <c:lblOffset val="100"/>
        <c:noMultiLvlLbl val="0"/>
      </c:catAx>
      <c:valAx>
        <c:axId val="20910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70832"/>
        <c:crosses val="autoZero"/>
        <c:crossBetween val="between"/>
      </c:valAx>
      <c:spPr>
        <a:noFill/>
        <a:ln>
          <a:solidFill>
            <a:schemeClr val="tx1">
              <a:alpha val="11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Analysis.xlsx]Totalsales!PivotTable5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</a:t>
            </a:r>
            <a:r>
              <a:rPr lang="en-US" b="1" baseline="0"/>
              <a:t> variation over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Totalsales!$A$23:$A$26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Totalsales!$B$23:$B$26</c:f>
              <c:numCache>
                <c:formatCode>General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D-4ED9-B079-7E7AF063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904432"/>
        <c:axId val="351904016"/>
      </c:lineChart>
      <c:catAx>
        <c:axId val="35190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04016"/>
        <c:crosses val="autoZero"/>
        <c:auto val="1"/>
        <c:lblAlgn val="ctr"/>
        <c:lblOffset val="100"/>
        <c:noMultiLvlLbl val="0"/>
      </c:catAx>
      <c:valAx>
        <c:axId val="3519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% diff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Analysis.xlsx]avgsalespermonth!PivotTable1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 sales</a:t>
            </a:r>
            <a:r>
              <a:rPr lang="en-US" b="1" baseline="0">
                <a:solidFill>
                  <a:sysClr val="windowText" lastClr="000000"/>
                </a:solidFill>
              </a:rPr>
              <a:t> over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avgsalespermonth!$B$3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avgsalespermonth!$A$4:$A$7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avgsalespermonth!$B$4:$B$7</c:f>
              <c:numCache>
                <c:formatCode>General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F-4C76-9BC0-DA4FA936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070832"/>
        <c:axId val="2091065008"/>
      </c:barChart>
      <c:catAx>
        <c:axId val="20910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65008"/>
        <c:crosses val="autoZero"/>
        <c:auto val="1"/>
        <c:lblAlgn val="ctr"/>
        <c:lblOffset val="100"/>
        <c:noMultiLvlLbl val="0"/>
      </c:catAx>
      <c:valAx>
        <c:axId val="20910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70832"/>
        <c:crosses val="autoZero"/>
        <c:crossBetween val="between"/>
      </c:valAx>
      <c:spPr>
        <a:noFill/>
        <a:ln>
          <a:solidFill>
            <a:schemeClr val="tx1">
              <a:alpha val="11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Analysis.xlsx]salesbycountry!PivotTable3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salesbycountry!$A$4:$A$6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salesbycountry!$B$4:$B$6</c:f>
              <c:numCache>
                <c:formatCode>General</c:formatCode>
                <c:ptCount val="3"/>
                <c:pt idx="0">
                  <c:v>6696.8649999999989</c:v>
                </c:pt>
                <c:pt idx="1">
                  <c:v>2798.5050000000001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F1C-AFBC-8DAC813FE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1017584"/>
        <c:axId val="2091015504"/>
      </c:barChart>
      <c:catAx>
        <c:axId val="20910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15504"/>
        <c:crosses val="autoZero"/>
        <c:auto val="1"/>
        <c:lblAlgn val="ctr"/>
        <c:lblOffset val="100"/>
        <c:noMultiLvlLbl val="0"/>
      </c:catAx>
      <c:valAx>
        <c:axId val="20910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Analysis.xlsx]salesbycountry (2)!PivotTable3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'salesbycountry (2)'!$C$3:$C$4</c:f>
              <c:strCache>
                <c:ptCount val="1"/>
                <c:pt idx="0">
                  <c:v>Ireland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'salesbycountry (2)'!$A$5:$B$16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Arabica</c:v>
                  </c:pt>
                  <c:pt idx="3">
                    <c:v>Excelsa</c:v>
                  </c:pt>
                  <c:pt idx="6">
                    <c:v>Liberica</c:v>
                  </c:pt>
                  <c:pt idx="9">
                    <c:v>Robusta</c:v>
                  </c:pt>
                </c:lvl>
              </c:multiLvlStrCache>
            </c:multiLvlStrRef>
          </c:cat>
          <c:val>
            <c:numRef>
              <c:f>'salesbycountry (2)'!$C$5:$C$16</c:f>
              <c:numCache>
                <c:formatCode>General</c:formatCode>
                <c:ptCount val="12"/>
                <c:pt idx="0">
                  <c:v>453.71999999999997</c:v>
                </c:pt>
                <c:pt idx="1">
                  <c:v>470.08499999999992</c:v>
                </c:pt>
                <c:pt idx="2">
                  <c:v>436.5</c:v>
                </c:pt>
                <c:pt idx="3">
                  <c:v>495.72000000000008</c:v>
                </c:pt>
                <c:pt idx="4">
                  <c:v>643.00499999999988</c:v>
                </c:pt>
                <c:pt idx="5">
                  <c:v>394.625</c:v>
                </c:pt>
                <c:pt idx="6">
                  <c:v>1033.4099999999999</c:v>
                </c:pt>
                <c:pt idx="7">
                  <c:v>741.77999999999986</c:v>
                </c:pt>
                <c:pt idx="8">
                  <c:v>391.3950000000001</c:v>
                </c:pt>
                <c:pt idx="9">
                  <c:v>680.2</c:v>
                </c:pt>
                <c:pt idx="10">
                  <c:v>750.45999999999981</c:v>
                </c:pt>
                <c:pt idx="11">
                  <c:v>205.96499999999997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F-461D-BFFB-A335ED2065D8}"/>
            </c:ext>
          </c:extLst>
        </c:ser>
        <c:ser>
          <c:idx val="1"/>
          <c:order val="1"/>
          <c:tx>
            <c:strRef>
              <c:f>'salesbycountry (2)'!$D$3:$D$4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'salesbycountry (2)'!$A$5:$B$16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Arabica</c:v>
                  </c:pt>
                  <c:pt idx="3">
                    <c:v>Excelsa</c:v>
                  </c:pt>
                  <c:pt idx="6">
                    <c:v>Liberica</c:v>
                  </c:pt>
                  <c:pt idx="9">
                    <c:v>Robusta</c:v>
                  </c:pt>
                </c:lvl>
              </c:multiLvlStrCache>
            </c:multiLvlStrRef>
          </c:cat>
          <c:val>
            <c:numRef>
              <c:f>'salesbycountry (2)'!$D$5:$D$16</c:f>
              <c:numCache>
                <c:formatCode>General</c:formatCode>
                <c:ptCount val="12"/>
                <c:pt idx="0">
                  <c:v>167.16</c:v>
                </c:pt>
                <c:pt idx="1">
                  <c:v>7.77</c:v>
                </c:pt>
                <c:pt idx="2">
                  <c:v>92.25</c:v>
                </c:pt>
                <c:pt idx="3">
                  <c:v>362.07000000000005</c:v>
                </c:pt>
                <c:pt idx="4">
                  <c:v>246.50999999999996</c:v>
                </c:pt>
                <c:pt idx="5">
                  <c:v>341</c:v>
                </c:pt>
                <c:pt idx="6">
                  <c:v>233.09999999999997</c:v>
                </c:pt>
                <c:pt idx="7">
                  <c:v>454.89499999999998</c:v>
                </c:pt>
                <c:pt idx="8">
                  <c:v>189.15</c:v>
                </c:pt>
                <c:pt idx="9">
                  <c:v>100.23999999999998</c:v>
                </c:pt>
                <c:pt idx="10">
                  <c:v>234.21999999999997</c:v>
                </c:pt>
                <c:pt idx="11">
                  <c:v>370.14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CF-461D-BFFB-A335ED2065D8}"/>
            </c:ext>
          </c:extLst>
        </c:ser>
        <c:ser>
          <c:idx val="2"/>
          <c:order val="2"/>
          <c:tx>
            <c:strRef>
              <c:f>'salesbycountry (2)'!$E$3:$E$4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'salesbycountry (2)'!$A$5:$B$16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Arabica</c:v>
                  </c:pt>
                  <c:pt idx="3">
                    <c:v>Excelsa</c:v>
                  </c:pt>
                  <c:pt idx="6">
                    <c:v>Liberica</c:v>
                  </c:pt>
                  <c:pt idx="9">
                    <c:v>Robusta</c:v>
                  </c:pt>
                </c:lvl>
              </c:multiLvlStrCache>
            </c:multiLvlStrRef>
          </c:cat>
          <c:val>
            <c:numRef>
              <c:f>'salesbycountry (2)'!$E$5:$E$16</c:f>
              <c:numCache>
                <c:formatCode>General</c:formatCode>
                <c:ptCount val="12"/>
                <c:pt idx="0">
                  <c:v>2426.8049999999998</c:v>
                </c:pt>
                <c:pt idx="1">
                  <c:v>3754.2049999999999</c:v>
                </c:pt>
                <c:pt idx="2">
                  <c:v>3960</c:v>
                </c:pt>
                <c:pt idx="3">
                  <c:v>2569.7249999999999</c:v>
                </c:pt>
                <c:pt idx="4">
                  <c:v>3907.0349999999994</c:v>
                </c:pt>
                <c:pt idx="5">
                  <c:v>3346.75</c:v>
                </c:pt>
                <c:pt idx="6">
                  <c:v>2829.5749999999971</c:v>
                </c:pt>
                <c:pt idx="7">
                  <c:v>3369.7100000000019</c:v>
                </c:pt>
                <c:pt idx="8">
                  <c:v>2811.06</c:v>
                </c:pt>
                <c:pt idx="9">
                  <c:v>1827.5899999999995</c:v>
                </c:pt>
                <c:pt idx="10">
                  <c:v>2774.7900000000009</c:v>
                </c:pt>
                <c:pt idx="11">
                  <c:v>2061.6400000000003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CF-461D-BFFB-A335ED206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017584"/>
        <c:axId val="2091015504"/>
      </c:lineChart>
      <c:catAx>
        <c:axId val="20910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15504"/>
        <c:crosses val="autoZero"/>
        <c:auto val="1"/>
        <c:lblAlgn val="ctr"/>
        <c:lblOffset val="100"/>
        <c:noMultiLvlLbl val="0"/>
      </c:catAx>
      <c:valAx>
        <c:axId val="20910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- Analysis.xlsx]unitpricebycountry!PivotTable4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unitpricebycountry!$B$3:$B$4</c:f>
              <c:strCache>
                <c:ptCount val="1"/>
                <c:pt idx="0">
                  <c:v>Arabica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unitpricebycountry!$A$5:$A$7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unitpricebycountry!$B$5:$B$7</c:f>
              <c:numCache>
                <c:formatCode>0</c:formatCode>
                <c:ptCount val="3"/>
                <c:pt idx="0">
                  <c:v>10.038170731707316</c:v>
                </c:pt>
                <c:pt idx="1">
                  <c:v>10.375</c:v>
                </c:pt>
                <c:pt idx="2">
                  <c:v>12.76372685185186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9-4090-AB62-746E15770012}"/>
            </c:ext>
          </c:extLst>
        </c:ser>
        <c:ser>
          <c:idx val="1"/>
          <c:order val="1"/>
          <c:tx>
            <c:strRef>
              <c:f>unitpricebycountry!$C$3:$C$4</c:f>
              <c:strCache>
                <c:ptCount val="1"/>
                <c:pt idx="0">
                  <c:v>Excelsa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unitpricebycountry!$A$5:$A$7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unitpricebycountry!$C$5:$C$7</c:f>
              <c:numCache>
                <c:formatCode>0</c:formatCode>
                <c:ptCount val="3"/>
                <c:pt idx="0">
                  <c:v>14.358142857142857</c:v>
                </c:pt>
                <c:pt idx="1">
                  <c:v>13.445217391304348</c:v>
                </c:pt>
                <c:pt idx="2">
                  <c:v>14.375132275132275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9-4090-AB62-746E15770012}"/>
            </c:ext>
          </c:extLst>
        </c:ser>
        <c:ser>
          <c:idx val="2"/>
          <c:order val="2"/>
          <c:tx>
            <c:strRef>
              <c:f>unitpricebycountry!$D$3:$D$4</c:f>
              <c:strCache>
                <c:ptCount val="1"/>
                <c:pt idx="0">
                  <c:v>Liberica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unitpricebycountry!$A$5:$A$7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unitpricebycountry!$D$5:$D$7</c:f>
              <c:numCache>
                <c:formatCode>0</c:formatCode>
                <c:ptCount val="3"/>
                <c:pt idx="0">
                  <c:v>16.528846153846153</c:v>
                </c:pt>
                <c:pt idx="1">
                  <c:v>12.170238095238094</c:v>
                </c:pt>
                <c:pt idx="2">
                  <c:v>14.453484042553189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9-4090-AB62-746E15770012}"/>
            </c:ext>
          </c:extLst>
        </c:ser>
        <c:ser>
          <c:idx val="3"/>
          <c:order val="3"/>
          <c:tx>
            <c:strRef>
              <c:f>unitpricebycountry!$E$3:$E$4</c:f>
              <c:strCache>
                <c:ptCount val="1"/>
                <c:pt idx="0">
                  <c:v>Robusta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unitpricebycountry!$A$5:$A$7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unitpricebycountry!$E$5:$E$7</c:f>
              <c:numCache>
                <c:formatCode>0</c:formatCode>
                <c:ptCount val="3"/>
                <c:pt idx="0">
                  <c:v>11.360263157894735</c:v>
                </c:pt>
                <c:pt idx="1">
                  <c:v>9.7131818181818161</c:v>
                </c:pt>
                <c:pt idx="2">
                  <c:v>10.361408839779006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9-4090-AB62-746E1577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042544"/>
        <c:axId val="2091050032"/>
      </c:barChart>
      <c:catAx>
        <c:axId val="209104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50032"/>
        <c:crosses val="autoZero"/>
        <c:auto val="1"/>
        <c:lblAlgn val="ctr"/>
        <c:lblOffset val="100"/>
        <c:noMultiLvlLbl val="0"/>
      </c:catAx>
      <c:valAx>
        <c:axId val="20910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64770</xdr:rowOff>
    </xdr:from>
    <xdr:to>
      <xdr:col>12</xdr:col>
      <xdr:colOff>15240</xdr:colOff>
      <xdr:row>16</xdr:row>
      <xdr:rowOff>64770</xdr:rowOff>
    </xdr:to>
    <xdr:graphicFrame macro="">
      <xdr:nvGraphicFramePr>
        <xdr:cNvPr id="2" name="Total sales over year">
          <a:extLst>
            <a:ext uri="{FF2B5EF4-FFF2-40B4-BE49-F238E27FC236}">
              <a16:creationId xmlns:a16="http://schemas.microsoft.com/office/drawing/2014/main" id="{86DCD81B-67AE-4D45-B24A-7671CED75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17</xdr:row>
      <xdr:rowOff>156210</xdr:rowOff>
    </xdr:from>
    <xdr:to>
      <xdr:col>12</xdr:col>
      <xdr:colOff>38100</xdr:colOff>
      <xdr:row>32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660FD-9271-4CFD-BF61-D4A6F1C4A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64770</xdr:rowOff>
    </xdr:from>
    <xdr:to>
      <xdr:col>12</xdr:col>
      <xdr:colOff>15240</xdr:colOff>
      <xdr:row>16</xdr:row>
      <xdr:rowOff>64770</xdr:rowOff>
    </xdr:to>
    <xdr:graphicFrame macro="">
      <xdr:nvGraphicFramePr>
        <xdr:cNvPr id="2" name="Total sales over year">
          <a:extLst>
            <a:ext uri="{FF2B5EF4-FFF2-40B4-BE49-F238E27FC236}">
              <a16:creationId xmlns:a16="http://schemas.microsoft.com/office/drawing/2014/main" id="{FF818809-C302-4902-A214-0405373F7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148968</xdr:rowOff>
    </xdr:from>
    <xdr:to>
      <xdr:col>12</xdr:col>
      <xdr:colOff>284892</xdr:colOff>
      <xdr:row>15</xdr:row>
      <xdr:rowOff>111898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9A0D83-1539-4AA0-A9CC-B114D1B39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168192</xdr:colOff>
      <xdr:row>2</xdr:row>
      <xdr:rowOff>116702</xdr:rowOff>
    </xdr:from>
    <xdr:to>
      <xdr:col>13</xdr:col>
      <xdr:colOff>360409</xdr:colOff>
      <xdr:row>15</xdr:row>
      <xdr:rowOff>180546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C2DCA-B409-4E0A-BF69-A565C0F94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2</xdr:row>
      <xdr:rowOff>133350</xdr:rowOff>
    </xdr:from>
    <xdr:to>
      <xdr:col>15</xdr:col>
      <xdr:colOff>160020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7A295-55BF-4A81-B879-F1D98EAC9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bin k" refreshedDate="46063.408660185189" createdVersion="7" refreshedVersion="7" minRefreshableVersion="3" recordCount="1000" xr:uid="{F5B3DCA3-F306-4ACB-82D3-0CF7EA0C3771}">
  <cacheSource type="worksheet">
    <worksheetSource name="Orders"/>
  </cacheSource>
  <cacheFields count="16">
    <cacheField name="Order ID" numFmtId="0">
      <sharedItems count="957">
        <s v="QEV-37451-860"/>
        <s v="FAA-43335-268"/>
        <s v="KAC-83089-793"/>
        <s v="CVP-18956-553"/>
        <s v="IPP-31994-879"/>
        <s v="SNZ-65340-705"/>
        <s v="EZT-46571-659"/>
        <s v="NWQ-70061-912"/>
        <s v="BKK-47233-845"/>
        <s v="VQR-01002-970"/>
        <s v="SZW-48378-399"/>
        <s v="ITA-87418-783"/>
        <s v="GNZ-46006-527"/>
        <s v="FYQ-78248-319"/>
        <s v="VAU-44387-624"/>
        <s v="RDW-33155-159"/>
        <s v="TDZ-59011-211"/>
        <s v="IDU-25793-399"/>
        <s v="NUO-20013-488"/>
        <s v="UQU-65630-479"/>
        <s v="FEO-11834-332"/>
        <s v="TKY-71558-096"/>
        <s v="OXY-65322-253"/>
        <s v="EVP-43500-491"/>
        <s v="WAG-26945-689"/>
        <s v="CHE-78995-767"/>
        <s v="RYZ-14633-602"/>
        <s v="WOQ-36015-429"/>
        <s v="SCT-60553-454"/>
        <s v="GFK-52063-244"/>
        <s v="AMM-79521-378"/>
        <s v="QUQ-90580-772"/>
        <s v="LGD-24408-274"/>
        <s v="HCT-95608-959"/>
        <s v="OFX-99147-470"/>
        <s v="LUO-37559-016"/>
        <s v="XWC-20610-167"/>
        <s v="GPU-79113-136"/>
        <s v="ULR-52653-960"/>
        <s v="HPI-42308-142"/>
        <s v="XHI-30227-581"/>
        <s v="DJH-05202-380"/>
        <s v="VMW-26889-781"/>
        <s v="DBU-81099-586"/>
        <s v="PQA-54820-810"/>
        <s v="XKB-41924-202"/>
        <s v="DWZ-69106-473"/>
        <s v="YHV-68700-050"/>
        <s v="KRB-88066-642"/>
        <s v="LQU-08404-173"/>
        <s v="CWK-60159-881"/>
        <s v="EEG-74197-843"/>
        <s v="UCZ-59708-525"/>
        <s v="HUB-47311-849"/>
        <s v="WYM-17686-694"/>
        <s v="ZYQ-15797-695"/>
        <s v="EEJ-16185-108"/>
        <s v="RWR-77888-800"/>
        <s v="LHN-75209-742"/>
        <s v="TIR-71396-998"/>
        <s v="RXF-37618-213"/>
        <s v="ANM-16388-634"/>
        <s v="WYL-29300-070"/>
        <s v="JHW-74554-805"/>
        <s v="KYS-27063-603"/>
        <s v="GAZ-58626-277"/>
        <s v="RPJ-37787-335"/>
        <s v="LEF-83057-763"/>
        <s v="RPW-36123-215"/>
        <s v="WLL-59044-117"/>
        <s v="AWT-22827-563"/>
        <s v="QLM-07145-668"/>
        <s v="HVQ-64398-930"/>
        <s v="WRT-40778-247"/>
        <s v="SUB-13006-125"/>
        <s v="CQM-49696-263"/>
        <s v="KXN-85094-246"/>
        <s v="XOQ-12405-419"/>
        <s v="HYF-10254-369"/>
        <s v="XXJ-47000-307"/>
        <s v="ZDK-82166-357"/>
        <s v="IHN-19982-362"/>
        <s v="VMT-10030-889"/>
        <s v="NHL-11063-100"/>
        <s v="ROV-87448-086"/>
        <s v="DGY-35773-612"/>
        <s v="YWH-50638-556"/>
        <s v="ISL-11200-600"/>
        <s v="LBZ-75997-047"/>
        <s v="EUH-08089-954"/>
        <s v="BLD-12227-251"/>
        <s v="OPY-30711-853"/>
        <s v="DBC-44122-300"/>
        <s v="FJQ-60035-234"/>
        <s v="HSF-66926-425"/>
        <s v="LQG-41416-375"/>
        <s v="VZO-97265-841"/>
        <s v="MOR-12987-399"/>
        <s v="UOA-23786-489"/>
        <s v="AJL-52941-018"/>
        <s v="XSZ-84273-421"/>
        <s v="NUN-48214-216"/>
        <s v="AKV-93064-769"/>
        <s v="BRB-40903-533"/>
        <s v="GPR-19973-483"/>
        <s v="XIY-43041-882"/>
        <s v="YGY-98425-969"/>
        <s v="MSB-08397-648"/>
        <s v="WDR-06028-345"/>
        <s v="MXM-42948-061"/>
        <s v="MGQ-98961-173"/>
        <s v="RFH-64349-897"/>
        <s v="TKL-20738-660"/>
        <s v="GOW-03198-575"/>
        <s v="QJB-90477-635"/>
        <s v="MWP-46239-785"/>
        <s v="QDV-03406-248"/>
        <s v="GPH-40635-105"/>
        <s v="JOM-80930-071"/>
        <s v="OIL-26493-755"/>
        <s v="CYV-13426-645"/>
        <s v="WRP-39846-614"/>
        <s v="VDZ-76673-968"/>
        <s v="VTV-03546-175"/>
        <s v="GHR-72274-715"/>
        <s v="ZGK-97262-313"/>
        <s v="ZFS-30776-804"/>
        <s v="QUU-91729-492"/>
        <s v="PVI-72795-960"/>
        <s v="PPP-78935-365"/>
        <s v="JUO-34131-517"/>
        <s v="ZJE-89333-489"/>
        <s v="LOO-35324-159"/>
        <s v="JBQ-93412-846"/>
        <s v="EHX-66333-637"/>
        <s v="WXG-25759-236"/>
        <s v="QNA-31113-984"/>
        <s v="ZWI-52029-159"/>
        <s v="DFS-49954-707"/>
        <s v="VYP-89830-878"/>
        <s v="AMT-40418-362"/>
        <s v="NFQ-23241-793"/>
        <s v="JQK-64922-985"/>
        <s v="YET-17732-678"/>
        <s v="NKW-24945-846"/>
        <s v="VKA-82720-513"/>
        <s v="THA-60599-417"/>
        <s v="MEK-39769-035"/>
        <s v="JAF-18294-750"/>
        <s v="TME-59627-221"/>
        <s v="UDG-65353-824"/>
        <s v="ENQ-42923-176"/>
        <s v="CBT-55781-720"/>
        <s v="NEU-86533-016"/>
        <s v="BYU-58154-603"/>
        <s v="EHJ-05910-257"/>
        <s v="EIL-44855-309"/>
        <s v="HCA-87224-420"/>
        <s v="ABO-29054-365"/>
        <s v="TKN-58485-031"/>
        <s v="RCK-04069-371"/>
        <s v="IRJ-67095-738"/>
        <s v="VEA-31961-977"/>
        <s v="BAF-42286-205"/>
        <s v="WOR-52762-511"/>
        <s v="ZWK-03995-815"/>
        <s v="CKF-43291-846"/>
        <s v="RMW-74160-339"/>
        <s v="FMT-94584-786"/>
        <s v="NWT-78222-575"/>
        <s v="EOI-02511-919"/>
        <s v="UCT-03935-589"/>
        <s v="SBI-60013-494"/>
        <s v="QRA-73277-814"/>
        <s v="EQE-31648-909"/>
        <s v="QOO-24615-950"/>
        <s v="WDV-73864-037"/>
        <s v="PKR-88575-066"/>
        <s v="BWR-85735-955"/>
        <s v="YFX-64795-136"/>
        <s v="DDO-71442-967"/>
        <s v="ILQ-11027-588"/>
        <s v="KRZ-13868-122"/>
        <s v="VRM-93594-914"/>
        <s v="HXL-22497-359"/>
        <s v="NOP-21394-646"/>
        <s v="FTV-77095-168"/>
        <s v="BOR-02906-411"/>
        <s v="WMP-68847-770"/>
        <s v="TMO-22785-872"/>
        <s v="TJG-73587-353"/>
        <s v="OOU-61343-455"/>
        <s v="RMA-08327-369"/>
        <s v="SFB-97929-779"/>
        <s v="AUP-10128-606"/>
        <s v="YTW-40242-005"/>
        <s v="PRP-53390-819"/>
        <s v="GSJ-01065-125"/>
        <s v="YQU-65147-580"/>
        <s v="QPM-95832-683"/>
        <s v="BNQ-88920-567"/>
        <s v="PUX-47906-110"/>
        <s v="COL-72079-610"/>
        <s v="LBC-45686-819"/>
        <s v="BLQ-03709-265"/>
        <s v="VFZ-91673-181"/>
        <s v="WKD-81956-870"/>
        <s v="TNI-91067-006"/>
        <s v="IZA-61469-812"/>
        <s v="PSS-22466-862"/>
        <s v="REH-56504-397"/>
        <s v="ALA-62598-016"/>
        <s v="EYE-70374-835"/>
        <s v="CCZ-19589-212"/>
        <s v="BPT-83989-157"/>
        <s v="YFH-87456-208"/>
        <s v="JLN-14700-924"/>
        <s v="JVW-22582-137"/>
        <s v="LAA-41879-001"/>
        <s v="BRV-64870-915"/>
        <s v="RGJ-12544-083"/>
        <s v="JJX-83339-346"/>
        <s v="BIU-21970-705"/>
        <s v="ELJ-87741-745"/>
        <s v="SGI-48226-857"/>
        <s v="AHV-66988-037"/>
        <s v="ISK-42066-094"/>
        <s v="FTC-35822-530"/>
        <s v="VSS-56247-688"/>
        <s v="HVW-25584-144"/>
        <s v="MUY-15309-209"/>
        <s v="VAJ-44572-469"/>
        <s v="YJU-84377-606"/>
        <s v="VNC-93921-469"/>
        <s v="OGB-91614-810"/>
        <s v="BQI-61647-496"/>
        <s v="IOM-51636-823"/>
        <s v="GGD-38107-641"/>
        <s v="LTO-95975-728"/>
        <s v="IGM-84664-265"/>
        <s v="SKO-45740-621"/>
        <s v="FOJ-02234-063"/>
        <s v="MSJ-11909-468"/>
        <s v="DKB-78053-329"/>
        <s v="DFZ-45083-941"/>
        <s v="OTA-40969-710"/>
        <s v="GRH-45571-667"/>
        <s v="NXV-05302-067"/>
        <s v="VZH-86274-142"/>
        <s v="KIX-93248-135"/>
        <s v="AXR-10962-010"/>
        <s v="IHS-71573-008"/>
        <s v="QTR-19001-114"/>
        <s v="WBK-62297-910"/>
        <s v="OGY-19377-175"/>
        <s v="ESR-66651-814"/>
        <s v="CPX-46916-770"/>
        <s v="MDC-03318-645"/>
        <s v="SFF-86059-407"/>
        <s v="SCL-94540-788"/>
        <s v="HVU-21634-076"/>
        <s v="XUS-73326-418"/>
        <s v="XWD-18933-006"/>
        <s v="HPD-65272-772"/>
        <s v="JEG-93140-224"/>
        <s v="NNH-62058-950"/>
        <s v="LTD-71429-845"/>
        <s v="MPV-26985-215"/>
        <s v="IYO-10245-081"/>
        <s v="BYZ-39669-954"/>
        <s v="EFB-72860-209"/>
        <s v="GMM-72397-378"/>
        <s v="LYP-52345-883"/>
        <s v="DFK-35846-692"/>
        <s v="XAH-93337-609"/>
        <s v="QKA-72582-644"/>
        <s v="ZDK-84567-102"/>
        <s v="WAV-38301-984"/>
        <s v="KZR-33023-209"/>
        <s v="ULM-49433-003"/>
        <s v="SIB-83254-136"/>
        <s v="NOK-50349-551"/>
        <s v="YIS-96268-844"/>
        <s v="CXI-04933-855"/>
        <s v="IZU-90429-382"/>
        <s v="WIT-40912-783"/>
        <s v="PSD-57291-590"/>
        <s v="GOI-41472-677"/>
        <s v="KTX-17944-494"/>
        <s v="RDM-99811-230"/>
        <s v="JTU-55897-581"/>
        <s v="CRK-07584-240"/>
        <s v="MKE-75518-399"/>
        <s v="AEL-51169-725"/>
        <s v="ZGM-83108-823"/>
        <s v="JBP-78754-392"/>
        <s v="RNH-54912-747"/>
        <s v="JDS-33440-914"/>
        <s v="SYX-48878-182"/>
        <s v="ZGD-94763-868"/>
        <s v="CZY-70361-485"/>
        <s v="RJR-12175-899"/>
        <s v="ELB-07929-407"/>
        <s v="UJQ-54441-340"/>
        <s v="OWY-43108-475"/>
        <s v="GNO-91911-159"/>
        <s v="CNY-06284-066"/>
        <s v="OQS-46321-904"/>
        <s v="IBW-87442-480"/>
        <s v="DGZ-82537-477"/>
        <s v="LPS-39089-432"/>
        <s v="MQU-86100-929"/>
        <s v="XUR-14132-391"/>
        <s v="OVI-27064-381"/>
        <s v="SHP-17012-870"/>
        <s v="FDY-03414-903"/>
        <s v="WXT-85291-143"/>
        <s v="QNP-18893-547"/>
        <s v="DOH-92927-530"/>
        <s v="HGJ-82768-173"/>
        <s v="YPT-95383-088"/>
        <s v="OYH-16533-767"/>
        <s v="DWW-28642-549"/>
        <s v="CGO-79583-871"/>
        <s v="TFY-52090-386"/>
        <s v="NYY-73968-094"/>
        <s v="QEY-71761-460"/>
        <s v="GKQ-82603-910"/>
        <s v="IOB-32673-745"/>
        <s v="YAU-98893-150"/>
        <s v="XNM-14163-951"/>
        <s v="JPB-45297-000"/>
        <s v="MOU-74341-266"/>
        <s v="DHJ-87461-571"/>
        <s v="DKM-97676-850"/>
        <s v="UEB-09112-118"/>
        <s v="ORZ-67699-748"/>
        <s v="JXP-28398-485"/>
        <s v="WWH-92259-198"/>
        <s v="FLR-82914-153"/>
        <s v="AMB-93600-000"/>
        <s v="FEP-36895-658"/>
        <s v="RXW-91413-276"/>
        <s v="SDB-77492-188"/>
        <s v="RZN-65182-395"/>
        <s v="HDQ-86094-507"/>
        <s v="YXO-79631-417"/>
        <s v="SNF-57032-096"/>
        <s v="DGL-29648-995"/>
        <s v="GPU-65651-504"/>
        <s v="OJU-34452-896"/>
        <s v="GZS-50547-887"/>
        <s v="ESR-54041-053"/>
        <s v="OGD-10781-526"/>
        <s v="FVH-29271-315"/>
        <s v="BNZ-20544-633"/>
        <s v="FUX-85791-078"/>
        <s v="YXP-20078-116"/>
        <s v="VQV-59984-866"/>
        <s v="JEH-37276-048"/>
        <s v="VYD-28555-589"/>
        <s v="WUG-76466-650"/>
        <s v="RJV-08261-583"/>
        <s v="PMR-56062-609"/>
        <s v="XLD-12920-505"/>
        <s v="UBW-50312-037"/>
        <s v="QAW-05889-019"/>
        <s v="EPT-12715-397"/>
        <s v="DHT-93810-053"/>
        <s v="DMY-96037-963"/>
        <s v="MBM-55936-917"/>
        <s v="TPA-93614-840"/>
        <s v="WDM-77521-710"/>
        <s v="EIP-19142-462"/>
        <s v="ZZL-76364-387"/>
        <s v="GMF-18638-786"/>
        <s v="TDJ-20844-787"/>
        <s v="BWK-39400-446"/>
        <s v="LCB-02099-995"/>
        <s v="UBA-43678-174"/>
        <s v="UDH-24280-432"/>
        <s v="IDQ-20193-502"/>
        <s v="DJG-14442-608"/>
        <s v="DWB-61381-370"/>
        <s v="FRD-17347-990"/>
        <s v="YPP-27450-525"/>
        <s v="EFC-39577-424"/>
        <s v="LAW-80062-016"/>
        <s v="WKL-27981-758"/>
        <s v="VRT-39834-265"/>
        <s v="QTC-71005-730"/>
        <s v="TNX-09857-717"/>
        <s v="JZV-43874-185"/>
        <s v="ICF-17486-106"/>
        <s v="BMK-49520-383"/>
        <s v="HTS-15020-632"/>
        <s v="YLE-18247-749"/>
        <s v="KJJ-12573-591"/>
        <s v="RGU-43561-950"/>
        <s v="JSN-73975-443"/>
        <s v="WNR-71736-993"/>
        <s v="HNI-91338-546"/>
        <s v="CYH-53243-218"/>
        <s v="SVD-75407-177"/>
        <s v="NVN-66443-451"/>
        <s v="JUA-13580-095"/>
        <s v="ACY-56225-839"/>
        <s v="QBB-07903-622"/>
        <s v="JLJ-81802-619"/>
        <s v="HFT-77191-168"/>
        <s v="SZR-35951-530"/>
        <s v="IKL-95976-565"/>
        <s v="XEY-48929-474"/>
        <s v="SQT-07286-736"/>
        <s v="QDU-45390-361"/>
        <s v="RUJ-30649-712"/>
        <s v="WSV-49732-075"/>
        <s v="VJF-46305-323"/>
        <s v="CXD-74176-600"/>
        <s v="ADX-50674-975"/>
        <s v="RRP-51647-420"/>
        <s v="PKJ-99134-523"/>
        <s v="FZQ-29439-457"/>
        <s v="USN-68115-161"/>
        <s v="IXU-20263-532"/>
        <s v="CBT-15092-420"/>
        <s v="PKQ-46841-696"/>
        <s v="XDU-05471-219"/>
        <s v="NID-20149-329"/>
        <s v="SVU-27222-213"/>
        <s v="RWI-84131-848"/>
        <s v="GUU-40666-525"/>
        <s v="SCN-51395-066"/>
        <s v="ULA-24644-321"/>
        <s v="EOL-92666-762"/>
        <s v="AJV-18231-334"/>
        <s v="ZQI-47236-301"/>
        <s v="ZCR-15721-658"/>
        <s v="QEW-47945-682"/>
        <s v="PSY-45485-542"/>
        <s v="BAQ-74241-156"/>
        <s v="BVU-77367-451"/>
        <s v="TJE-91516-344"/>
        <s v="LIS-96202-702"/>
        <s v="VIO-27668-766"/>
        <s v="ZVG-20473-043"/>
        <s v="KGZ-56395-231"/>
        <s v="CUU-92244-729"/>
        <s v="EHE-94714-312"/>
        <s v="RTL-16205-161"/>
        <s v="GTS-22482-014"/>
        <s v="DYG-25473-881"/>
        <s v="HTR-21838-286"/>
        <s v="KYG-28296-920"/>
        <s v="NNB-20459-430"/>
        <s v="FEK-14025-351"/>
        <s v="AWH-16980-469"/>
        <s v="ZPW-31329-741"/>
        <s v="UBI-83843-396"/>
        <s v="VID-40587-569"/>
        <s v="KBB-52530-416"/>
        <s v="ISJ-48676-420"/>
        <s v="MIF-17920-768"/>
        <s v="CPX-19312-088"/>
        <s v="RXI-67978-260"/>
        <s v="LKE-14821-285"/>
        <s v="LRK-97117-150"/>
        <s v="IGK-51227-573"/>
        <s v="ZAY-43009-775"/>
        <s v="EMA-63190-618"/>
        <s v="FBI-35855-418"/>
        <s v="TXB-80533-417"/>
        <s v="MBM-00112-248"/>
        <s v="EUO-69145-988"/>
        <s v="GYA-80327-368"/>
        <s v="TNW-41601-420"/>
        <s v="ALR-62963-723"/>
        <s v="JIG-27636-870"/>
        <s v="CTE-31437-326"/>
        <s v="SLD-63003-334"/>
        <s v="BXN-64230-789"/>
        <s v="XEE-37895-169"/>
        <s v="ZTX-80764-911"/>
        <s v="WVT-88135-549"/>
        <s v="IPA-94170-889"/>
        <s v="YQL-63755-365"/>
        <s v="RKW-81145-984"/>
        <s v="MBT-23379-866"/>
        <s v="GEJ-39834-935"/>
        <s v="KRW-91640-596"/>
        <s v="AOT-70449-651"/>
        <s v="DGC-21813-731"/>
        <s v="JBE-92943-643"/>
        <s v="ZIL-34948-499"/>
        <s v="JSU-23781-256"/>
        <s v="VPX-44956-367"/>
        <s v="VTB-46451-959"/>
        <s v="DNZ-11665-950"/>
        <s v="ITR-54735-364"/>
        <s v="YDS-02797-307"/>
        <s v="BPG-68988-842"/>
        <s v="XZG-51938-658"/>
        <s v="KAR-24978-271"/>
        <s v="FQK-28730-361"/>
        <s v="BGB-67996-089"/>
        <s v="XMC-20620-809"/>
        <s v="ZSO-58292-191"/>
        <s v="LWJ-06793-303"/>
        <s v="FLM-82229-989"/>
        <s v="CPV-90280-133"/>
        <s v="OGW-60685-912"/>
        <s v="DEC-11160-362"/>
        <s v="WCT-07869-499"/>
        <s v="FHD-89872-325"/>
        <s v="AZF-45991-584"/>
        <s v="MDG-14481-513"/>
        <s v="OFN-49424-848"/>
        <s v="NFA-03411-746"/>
        <s v="CYM-74988-450"/>
        <s v="WTV-24996-658"/>
        <s v="DSL-69915-544"/>
        <s v="NBT-35757-542"/>
        <s v="OYU-25085-528"/>
        <s v="XCG-07109-195"/>
        <s v="YZA-25234-630"/>
        <s v="OKU-29966-417"/>
        <s v="MEX-29350-659"/>
        <s v="NOY-99738-977"/>
        <s v="TCR-01064-030"/>
        <s v="YUL-42750-776"/>
        <s v="XQJ-86887-506"/>
        <s v="CUN-90044-279"/>
        <s v="ICC-73030-502"/>
        <s v="ADP-04506-084"/>
        <s v="PNU-22150-408"/>
        <s v="VSQ-07182-513"/>
        <s v="SPF-31673-217"/>
        <s v="NEX-63825-598"/>
        <s v="XPG-66112-335"/>
        <s v="NSQ-72210-345"/>
        <s v="XRR-28376-277"/>
        <s v="WHQ-25197-475"/>
        <s v="HMB-30634-745"/>
        <s v="XTL-68000-371"/>
        <s v="YES-51109-625"/>
        <s v="EAY-89850-211"/>
        <s v="IOQ-84840-827"/>
        <s v="FBD-56220-430"/>
        <s v="COV-52659-202"/>
        <s v="YUO-76652-814"/>
        <s v="PBT-36926-102"/>
        <s v="BLV-60087-454"/>
        <s v="QYC-63914-195"/>
        <s v="OIB-77163-890"/>
        <s v="SGS-87525-238"/>
        <s v="GQR-12490-152"/>
        <s v="UOJ-28238-299"/>
        <s v="ETD-58130-674"/>
        <s v="UPF-60123-025"/>
        <s v="NQS-01613-687"/>
        <s v="MGH-36050-573"/>
        <s v="UVF-59322-459"/>
        <s v="VET-41158-896"/>
        <s v="XYL-52196-459"/>
        <s v="BPZ-51283-916"/>
        <s v="VQW-91903-926"/>
        <s v="OLF-77983-457"/>
        <s v="MVI-04946-827"/>
        <s v="UOG-94188-104"/>
        <s v="DSN-15872-519"/>
        <s v="OUQ-73954-002"/>
        <s v="LGL-16843-667"/>
        <s v="TCC-89722-031"/>
        <s v="TRA-79507-007"/>
        <s v="MZJ-77284-941"/>
        <s v="AXN-57779-891"/>
        <s v="PJB-15659-994"/>
        <s v="LTS-03470-353"/>
        <s v="UMM-28497-689"/>
        <s v="MJZ-93232-402"/>
        <s v="UHW-74617-126"/>
        <s v="RIK-61730-794"/>
        <s v="IDJ-55379-750"/>
        <s v="OHX-11953-965"/>
        <s v="TVV-42245-088"/>
        <s v="DYP-74337-787"/>
        <s v="OKA-93124-100"/>
        <s v="IXW-20780-268"/>
        <s v="NGG-24006-937"/>
        <s v="JZC-31180-557"/>
        <s v="ZMU-63715-204"/>
        <s v="GND-08192-056"/>
        <s v="RYY-38961-093"/>
        <s v="CVA-64996-969"/>
        <s v="XTH-67276-442"/>
        <s v="PVU-02950-470"/>
        <s v="XSN-26809-910"/>
        <s v="UDN-88321-005"/>
        <s v="EXP-21628-670"/>
        <s v="VGM-24161-361"/>
        <s v="PKN-19556-918"/>
        <s v="DXQ-44537-297"/>
        <s v="BPC-54727-307"/>
        <s v="KSH-47717-456"/>
        <s v="ANK-59436-446"/>
        <s v="AYY-83051-752"/>
        <s v="CSW-59644-267"/>
        <s v="ITY-92466-909"/>
        <s v="IGW-04801-466"/>
        <s v="LJN-34281-921"/>
        <s v="BWZ-46364-547"/>
        <s v="SBC-95710-706"/>
        <s v="WRN-55114-031"/>
        <s v="TZU-64255-831"/>
        <s v="JVF-91003-729"/>
        <s v="MVB-22135-665"/>
        <s v="CKS-47815-571"/>
        <s v="OAW-17338-101"/>
        <s v="ALP-37623-536"/>
        <s v="WMU-87639-108"/>
        <s v="USN-44968-231"/>
        <s v="YZG-20575-451"/>
        <s v="HTH-52867-812"/>
        <s v="FWU-44971-444"/>
        <s v="EQI-82205-066"/>
        <s v="NAR-00747-074"/>
        <s v="JYR-22052-185"/>
        <s v="XKO-54097-932"/>
        <s v="HXA-72415-025"/>
        <s v="MJF-20065-335"/>
        <s v="GFI-83300-059"/>
        <s v="WJR-51493-682"/>
        <s v="SHP-55648-472"/>
        <s v="HYR-03455-684"/>
        <s v="HUG-52766-375"/>
        <s v="DAH-46595-917"/>
        <s v="VEM-79839-466"/>
        <s v="OWH-11126-533"/>
        <s v="UMT-26130-151"/>
        <s v="JKA-27899-806"/>
        <s v="ULU-07744-724"/>
        <s v="NOM-56457-507"/>
        <s v="NZN-71683-705"/>
        <s v="WMA-34232-850"/>
        <s v="EZL-27919-704"/>
        <s v="ZYU-11345-774"/>
        <s v="CPW-34587-459"/>
        <s v="NQZ-82067-394"/>
        <s v="JBW-95055-851"/>
        <s v="AHY-20324-088"/>
        <s v="ZSL-66684-103"/>
        <s v="WNE-73911-475"/>
        <s v="EZB-68383-559"/>
        <s v="OVO-01283-090"/>
        <s v="TXH-78646-919"/>
        <s v="CYZ-37122-164"/>
        <s v="AGQ-06534-750"/>
        <s v="QVL-32245-818"/>
        <s v="LTD-96842-834"/>
        <s v="SEC-91807-425"/>
        <s v="MHM-44857-599"/>
        <s v="KGC-95046-911"/>
        <s v="RZC-75150-413"/>
        <s v="EYH-88288-452"/>
        <s v="NYQ-24237-772"/>
        <s v="WKB-21680-566"/>
        <s v="THE-61147-027"/>
        <s v="PTY-86420-119"/>
        <s v="QHL-27188-431"/>
        <s v="MIS-54381-047"/>
        <s v="TBB-29780-459"/>
        <s v="QLC-52637-305"/>
        <s v="CWT-27056-328"/>
        <s v="ASS-05878-128"/>
        <s v="EGK-03027-418"/>
        <s v="KCY-61732-849"/>
        <s v="BLI-21697-702"/>
        <s v="KFJ-46568-890"/>
        <s v="SOK-43535-680"/>
        <s v="XUE-87260-201"/>
        <s v="CZF-40873-691"/>
        <s v="AIA-98989-755"/>
        <s v="ITZ-21793-986"/>
        <s v="YOK-93322-608"/>
        <s v="LXK-00634-611"/>
        <s v="CQW-37388-302"/>
        <s v="SPA-79365-334"/>
        <s v="VPX-08817-517"/>
        <s v="PBP-87115-410"/>
        <s v="SFB-93752-440"/>
        <s v="TBU-65158-068"/>
        <s v="TEH-08414-216"/>
        <s v="MAY-77231-536"/>
        <s v="ATY-28980-884"/>
        <s v="SWP-88281-918"/>
        <s v="VCE-56531-986"/>
        <s v="FVV-75700-005"/>
        <s v="CFZ-53492-600"/>
        <s v="LDK-71031-121"/>
        <s v="EBA-82404-343"/>
        <s v="USA-42811-560"/>
        <s v="SNL-83703-516"/>
        <s v="SUZ-83036-175"/>
        <s v="RGM-01187-513"/>
        <s v="CZG-01299-952"/>
        <s v="KLD-88731-484"/>
        <s v="BQK-38412-229"/>
        <s v="TCX-76953-071"/>
        <s v="LIN-88046-551"/>
        <s v="PMV-54491-220"/>
        <s v="SKA-73676-005"/>
        <s v="TKH-62197-239"/>
        <s v="YXF-57218-272"/>
        <s v="PKJ-30083-501"/>
        <s v="WTT-91832-645"/>
        <s v="TRZ-94735-865"/>
        <s v="UDB-09651-780"/>
        <s v="EHJ-82097-549"/>
        <s v="ZFR-79447-696"/>
        <s v="NUU-03893-975"/>
        <s v="GVG-59542-307"/>
        <s v="YLY-35287-172"/>
        <s v="DCI-96254-548"/>
        <s v="KHZ-26264-253"/>
        <s v="AAQ-13644-699"/>
        <s v="LWL-68108-794"/>
        <s v="JQT-14347-517"/>
        <s v="BMM-86471-923"/>
        <s v="IXU-67272-326"/>
        <s v="ITE-28312-615"/>
        <s v="ZHQ-30471-635"/>
        <s v="LTP-31133-134"/>
        <s v="ZVQ-26122-859"/>
        <s v="MIU-01481-194"/>
        <s v="UEA-72681-629"/>
        <s v="CVE-15042-481"/>
        <s v="EJA-79176-833"/>
        <s v="AHQ-40440-522"/>
        <s v="TID-21626-411"/>
        <s v="RSR-96390-187"/>
        <s v="BZE-96093-118"/>
        <s v="LOU-41819-242"/>
        <s v="FND-99527-640"/>
        <s v="ASG-27179-958"/>
        <s v="YKX-23510-272"/>
        <s v="FSA-98650-921"/>
        <s v="ZUR-55774-294"/>
        <s v="FUO-99821-974"/>
        <s v="YVH-19865-819"/>
        <s v="NNF-47422-501"/>
        <s v="RJI-71409-490"/>
        <s v="UZL-46108-213"/>
        <s v="AOX-44467-109"/>
        <s v="TZD-67261-174"/>
        <s v="TBU-64277-625"/>
        <s v="TYP-85767-944"/>
        <s v="GTT-73214-334"/>
        <s v="WAI-89905-069"/>
        <s v="OJL-96844-459"/>
        <s v="VGI-33205-360"/>
        <s v="PCA-14081-576"/>
        <s v="SCS-67069-962"/>
        <s v="BDM-03174-485"/>
        <s v="UJV-32333-364"/>
        <s v="FLI-11493-954"/>
        <s v="IWL-13117-537"/>
        <s v="OAM-76916-748"/>
        <s v="UMB-11223-710"/>
        <s v="LXR-09892-726"/>
        <s v="QXX-89943-393"/>
        <s v="WVS-57822-366"/>
        <s v="CLJ-23403-689"/>
        <s v="XNU-83276-288"/>
        <s v="YOG-94666-679"/>
        <s v="KHG-33953-115"/>
        <s v="MHD-95615-696"/>
        <s v="HBH-64794-080"/>
        <s v="CNJ-56058-223"/>
        <s v="KHO-27106-786"/>
        <s v="YAC-50329-982"/>
        <s v="VVL-95291-039"/>
        <s v="VUT-20974-364"/>
        <s v="SFC-34054-213"/>
        <s v="UDS-04807-593"/>
        <s v="FWE-98471-488"/>
        <s v="RAU-17060-674"/>
        <s v="AOL-13866-711"/>
        <s v="NOA-79645-377"/>
        <s v="KMS-49214-806"/>
        <s v="ABK-08091-531"/>
        <s v="GPT-67705-953"/>
        <s v="JNA-21450-177"/>
        <s v="MPQ-23421-608"/>
        <s v="NLI-63891-565"/>
        <s v="HHF-36647-854"/>
        <s v="SBN-16537-046"/>
        <s v="XZD-44484-632"/>
        <s v="IKQ-39946-768"/>
        <s v="KMB-95211-174"/>
        <s v="QWY-99467-368"/>
        <s v="SRG-76791-614"/>
        <s v="VSN-94485-621"/>
        <s v="UFZ-24348-219"/>
        <s v="UKS-93055-397"/>
        <s v="AVH-56062-335"/>
        <s v="HGE-19842-613"/>
        <s v="WBA-85905-175"/>
        <s v="DZI-35365-596"/>
        <s v="XIR-88982-743"/>
        <s v="VUC-72395-865"/>
        <s v="BQJ-44755-910"/>
        <s v="JKC-64636-831"/>
        <s v="ZKI-78561-066"/>
        <s v="IMP-12563-728"/>
        <s v="MZL-81126-390"/>
        <s v="TVF-57766-608"/>
        <s v="RUX-37995-892"/>
        <s v="AVK-76526-953"/>
        <s v="RIU-02231-623"/>
        <s v="WFK-99317-827"/>
        <s v="SFD-00372-284"/>
        <s v="SXC-62166-515"/>
        <s v="YIE-87008-621"/>
        <s v="HRM-94548-288"/>
        <s v="UJG-34731-295"/>
        <s v="TWD-70988-853"/>
        <s v="CIX-22904-641"/>
        <s v="DLV-65840-759"/>
        <s v="RXN-55491-201"/>
        <s v="UHK-63283-868"/>
        <s v="PJC-31401-893"/>
        <s v="HHO-79903-185"/>
        <s v="YWM-07310-594"/>
        <s v="FHD-94983-982"/>
        <s v="WQK-10857-119"/>
        <s v="DXA-50313-073"/>
        <s v="ONW-00560-570"/>
        <s v="BRJ-19414-277"/>
        <s v="MIQ-16322-908"/>
        <s v="MVO-39328-830"/>
        <s v="NTJ-88319-746"/>
        <s v="LCY-24377-948"/>
        <s v="FWD-85967-769"/>
        <s v="KTO-53793-109"/>
        <s v="OCK-89033-348"/>
        <s v="GPZ-36017-366"/>
        <s v="BZP-33213-637"/>
        <s v="WFH-21507-708"/>
        <s v="HST-96923-073"/>
        <s v="ENN-79947-323"/>
        <s v="BHA-47429-889"/>
        <s v="SZY-63017-318"/>
        <s v="LCU-93317-340"/>
        <s v="UOM-71431-481"/>
        <s v="PJH-42618-877"/>
        <s v="XED-90333-402"/>
        <s v="IKK-62234-199"/>
        <s v="KAW-95195-329"/>
        <s v="QDO-57268-842"/>
        <s v="IIZ-24416-212"/>
        <s v="AWP-11469-510"/>
        <s v="KXA-27983-918"/>
        <s v="VKQ-39009-292"/>
        <s v="PDB-98743-282"/>
        <s v="SXW-34014-556"/>
        <s v="QOJ-38788-727"/>
        <s v="TGF-38649-658"/>
        <s v="EAI-25194-209"/>
        <s v="IJK-34441-720"/>
        <s v="ZMC-00336-619"/>
        <s v="UPX-54529-618"/>
        <s v="DLX-01059-899"/>
        <s v="MEK-85120-243"/>
        <s v="NFI-37188-246"/>
        <s v="BXH-62195-013"/>
        <s v="YLK-78851-470"/>
        <s v="DXY-76225-633"/>
        <s v="UHP-24614-199"/>
        <s v="HBY-35655-049"/>
        <s v="DCE-22886-861"/>
        <s v="QTG-93823-843"/>
        <s v="WFT-16178-396"/>
        <s v="ERC-54560-934"/>
        <s v="RUK-78200-416"/>
        <s v="KHK-13105-388"/>
        <s v="NJR-03699-189"/>
        <s v="PJV-20427-019"/>
        <s v="UGK-07613-982"/>
        <s v="OLA-68289-577"/>
        <s v="TNR-84447-052"/>
        <s v="FBZ-64200-586"/>
        <s v="OBN-66334-505"/>
        <s v="NXM-89323-646"/>
        <s v="NHI-23264-055"/>
        <s v="EQH-53569-934"/>
        <s v="XKK-06692-189"/>
        <s v="BYP-16005-016"/>
        <s v="LWS-13938-905"/>
        <s v="OLH-95722-362"/>
        <s v="KCW-50949-318"/>
        <s v="JGZ-16947-591"/>
        <s v="LXS-63326-144"/>
        <s v="CZG-86544-655"/>
        <s v="WFV-88138-247"/>
        <s v="RFG-28227-288"/>
        <s v="QAK-77286-758"/>
        <s v="CZD-56716-840"/>
        <s v="UBI-59229-277"/>
        <s v="WJJ-37489-898"/>
        <s v="ORX-57454-917"/>
        <s v="GRB-68838-629"/>
        <s v="SHT-04865-419"/>
        <s v="UQI-28177-865"/>
        <s v="OIB-13664-879"/>
        <s v="PJS-30996-485"/>
        <s v="HEL-86709-449"/>
        <s v="NCH-55389-562"/>
        <s v="GUG-45603-775"/>
        <s v="KJB-98240-098"/>
        <s v="JMS-48374-462"/>
        <s v="YIT-15877-117"/>
        <s v="YVK-82679-655"/>
        <s v="TYH-81940-054"/>
        <s v="HTY-30660-254"/>
        <s v="GPW-43956-761"/>
        <s v="DWY-56352-412"/>
        <s v="PUH-55647-976"/>
        <s v="DTB-71371-705"/>
        <s v="ZDC-64769-740"/>
        <s v="TED-81959-419"/>
        <s v="FDO-25756-141"/>
        <s v="HKN-31467-517"/>
        <s v="POF-29666-012"/>
        <s v="IRX-59256-644"/>
        <s v="LTN-89139-350"/>
        <s v="TXF-79780-017"/>
        <s v="ALM-80762-974"/>
        <s v="NXF-15738-707"/>
        <s v="MVV-19034-198"/>
        <s v="KUX-19632-830"/>
        <s v="SNZ-44595-152"/>
        <s v="GQA-37241-629"/>
        <s v="WVV-79948-067"/>
        <s v="LHX-81117-166"/>
        <s v="GCD-75444-320"/>
        <s v="SGA-30059-217"/>
        <s v="GNL-98714-885"/>
        <s v="OQA-93249-841"/>
        <s v="DUV-12075-132"/>
        <s v="KPO-24942-184"/>
        <s v="SRJ-79353-838"/>
        <s v="XBV-40336-071"/>
        <s v="RLM-96511-467"/>
        <s v="AEZ-13242-456"/>
        <s v="UME-75640-698"/>
        <s v="GJC-66474-557"/>
        <s v="IRV-20769-219"/>
      </sharedItems>
    </cacheField>
    <cacheField name="Order Date" numFmtId="167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base="1">
        <rangePr groupBy="years" startDate="2019-01-02T00:00:00" endDate="2022-08-20T00:00:00"/>
        <groupItems count="6">
          <s v="&lt;02-01-2019"/>
          <s v="2019"/>
          <s v="2020"/>
          <s v="2021"/>
          <s v="2022"/>
          <s v="&gt;20-08-2022"/>
        </groupItems>
      </fieldGroup>
    </cacheField>
    <cacheField name="Customer ID" numFmtId="0">
      <sharedItems count="913"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>
      <sharedItems count="48"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66">
      <sharedItems containsSemiMixedTypes="0" containsString="0" containsNumber="1" minValue="0.2" maxValue="2.5"/>
    </cacheField>
    <cacheField name="Unit Price" numFmtId="165">
      <sharedItems containsSemiMixedTypes="0" containsString="0" containsNumber="1" minValue="2.6849999999999996" maxValue="36.454999999999998" count="40">
        <n v="9.9499999999999993"/>
        <n v="8.25"/>
        <n v="12.95"/>
        <n v="13.75"/>
        <n v="27.484999999999996"/>
        <n v="7.29"/>
        <n v="4.7549999999999999"/>
        <n v="5.97"/>
        <n v="34.154999999999994"/>
        <n v="20.584999999999997"/>
        <n v="3.8849999999999998"/>
        <n v="22.884999999999998"/>
        <n v="3.375"/>
        <n v="3.645"/>
        <n v="2.9849999999999999"/>
        <n v="11.25"/>
        <n v="4.125"/>
        <n v="6.75"/>
        <n v="4.3650000000000002"/>
        <n v="8.73"/>
        <n v="9.51"/>
        <n v="14.55"/>
        <n v="2.6849999999999996"/>
        <n v="36.454999999999998"/>
        <n v="29.784999999999997"/>
        <n v="31.624999999999996"/>
        <n v="7.77"/>
        <n v="15.85"/>
        <n v="14.85"/>
        <n v="5.3699999999999992"/>
        <n v="7.169999999999999"/>
        <n v="25.874999999999996"/>
        <n v="8.91"/>
        <n v="8.9499999999999993"/>
        <n v="3.5849999999999995"/>
        <n v="11.95"/>
        <n v="33.464999999999996"/>
        <n v="12.15"/>
        <n v="4.4550000000000001"/>
        <n v="27.945"/>
      </sharedItems>
    </cacheField>
    <cacheField name="Sales" numFmtId="165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2"/>
    <x v="0"/>
    <s v="aallner0@lulu.com"/>
    <x v="0"/>
    <x v="0"/>
    <x v="0"/>
    <n v="1"/>
    <x v="0"/>
    <x v="0"/>
    <x v="0"/>
    <x v="0"/>
    <x v="0"/>
  </r>
  <r>
    <x v="0"/>
    <x v="0"/>
    <x v="0"/>
    <x v="1"/>
    <n v="5"/>
    <x v="0"/>
    <s v="aallner0@lulu.com"/>
    <x v="0"/>
    <x v="1"/>
    <x v="0"/>
    <n v="0.5"/>
    <x v="1"/>
    <x v="1"/>
    <x v="1"/>
    <x v="0"/>
    <x v="0"/>
  </r>
  <r>
    <x v="1"/>
    <x v="1"/>
    <x v="1"/>
    <x v="2"/>
    <n v="1"/>
    <x v="1"/>
    <s v="jredholes2@tmall.com"/>
    <x v="0"/>
    <x v="2"/>
    <x v="1"/>
    <n v="1"/>
    <x v="2"/>
    <x v="2"/>
    <x v="2"/>
    <x v="1"/>
    <x v="0"/>
  </r>
  <r>
    <x v="2"/>
    <x v="2"/>
    <x v="2"/>
    <x v="3"/>
    <n v="2"/>
    <x v="2"/>
    <s v=""/>
    <x v="1"/>
    <x v="1"/>
    <x v="0"/>
    <n v="1"/>
    <x v="3"/>
    <x v="3"/>
    <x v="1"/>
    <x v="0"/>
    <x v="1"/>
  </r>
  <r>
    <x v="2"/>
    <x v="2"/>
    <x v="2"/>
    <x v="4"/>
    <n v="2"/>
    <x v="2"/>
    <s v=""/>
    <x v="1"/>
    <x v="0"/>
    <x v="1"/>
    <n v="2.5"/>
    <x v="4"/>
    <x v="4"/>
    <x v="0"/>
    <x v="1"/>
    <x v="1"/>
  </r>
  <r>
    <x v="3"/>
    <x v="3"/>
    <x v="3"/>
    <x v="5"/>
    <n v="3"/>
    <x v="3"/>
    <s v=""/>
    <x v="0"/>
    <x v="3"/>
    <x v="2"/>
    <n v="1"/>
    <x v="2"/>
    <x v="5"/>
    <x v="3"/>
    <x v="2"/>
    <x v="1"/>
  </r>
  <r>
    <x v="4"/>
    <x v="4"/>
    <x v="4"/>
    <x v="6"/>
    <n v="3"/>
    <x v="4"/>
    <s v="slobe6@nifty.com"/>
    <x v="0"/>
    <x v="1"/>
    <x v="2"/>
    <n v="0.5"/>
    <x v="5"/>
    <x v="6"/>
    <x v="1"/>
    <x v="2"/>
    <x v="0"/>
  </r>
  <r>
    <x v="5"/>
    <x v="5"/>
    <x v="5"/>
    <x v="7"/>
    <n v="1"/>
    <x v="5"/>
    <s v=""/>
    <x v="1"/>
    <x v="3"/>
    <x v="1"/>
    <n v="0.2"/>
    <x v="6"/>
    <x v="7"/>
    <x v="3"/>
    <x v="1"/>
    <x v="0"/>
  </r>
  <r>
    <x v="6"/>
    <x v="6"/>
    <x v="6"/>
    <x v="8"/>
    <n v="3"/>
    <x v="6"/>
    <s v="gpetracci8@livejournal.com"/>
    <x v="0"/>
    <x v="0"/>
    <x v="0"/>
    <n v="0.5"/>
    <x v="7"/>
    <x v="8"/>
    <x v="0"/>
    <x v="0"/>
    <x v="1"/>
  </r>
  <r>
    <x v="7"/>
    <x v="0"/>
    <x v="7"/>
    <x v="8"/>
    <n v="1"/>
    <x v="7"/>
    <s v="rraven9@ed.gov"/>
    <x v="0"/>
    <x v="0"/>
    <x v="0"/>
    <n v="0.5"/>
    <x v="7"/>
    <x v="9"/>
    <x v="0"/>
    <x v="0"/>
    <x v="1"/>
  </r>
  <r>
    <x v="8"/>
    <x v="7"/>
    <x v="8"/>
    <x v="9"/>
    <n v="4"/>
    <x v="8"/>
    <s v="fferbera@businesswire.com"/>
    <x v="0"/>
    <x v="2"/>
    <x v="2"/>
    <n v="1"/>
    <x v="0"/>
    <x v="10"/>
    <x v="2"/>
    <x v="2"/>
    <x v="1"/>
  </r>
  <r>
    <x v="9"/>
    <x v="8"/>
    <x v="9"/>
    <x v="10"/>
    <n v="5"/>
    <x v="9"/>
    <s v="dphizackerlyb@utexas.edu"/>
    <x v="0"/>
    <x v="1"/>
    <x v="1"/>
    <n v="2.5"/>
    <x v="8"/>
    <x v="11"/>
    <x v="1"/>
    <x v="1"/>
    <x v="0"/>
  </r>
  <r>
    <x v="10"/>
    <x v="9"/>
    <x v="10"/>
    <x v="0"/>
    <n v="5"/>
    <x v="10"/>
    <s v="rscholarc@nyu.edu"/>
    <x v="0"/>
    <x v="0"/>
    <x v="0"/>
    <n v="1"/>
    <x v="0"/>
    <x v="12"/>
    <x v="0"/>
    <x v="0"/>
    <x v="1"/>
  </r>
  <r>
    <x v="11"/>
    <x v="10"/>
    <x v="11"/>
    <x v="11"/>
    <n v="2"/>
    <x v="11"/>
    <s v="tvanyutind@wix.com"/>
    <x v="0"/>
    <x v="0"/>
    <x v="2"/>
    <n v="2.5"/>
    <x v="9"/>
    <x v="13"/>
    <x v="0"/>
    <x v="2"/>
    <x v="1"/>
  </r>
  <r>
    <x v="12"/>
    <x v="11"/>
    <x v="12"/>
    <x v="12"/>
    <n v="3"/>
    <x v="12"/>
    <s v="ptrobee@wunderground.com"/>
    <x v="0"/>
    <x v="3"/>
    <x v="2"/>
    <n v="0.2"/>
    <x v="10"/>
    <x v="14"/>
    <x v="3"/>
    <x v="2"/>
    <x v="0"/>
  </r>
  <r>
    <x v="13"/>
    <x v="12"/>
    <x v="13"/>
    <x v="13"/>
    <n v="5"/>
    <x v="13"/>
    <s v="loscroftf@ebay.co.uk"/>
    <x v="0"/>
    <x v="0"/>
    <x v="0"/>
    <n v="2.5"/>
    <x v="11"/>
    <x v="15"/>
    <x v="0"/>
    <x v="0"/>
    <x v="1"/>
  </r>
  <r>
    <x v="14"/>
    <x v="13"/>
    <x v="14"/>
    <x v="14"/>
    <n v="6"/>
    <x v="14"/>
    <s v="malabasterg@hexun.com"/>
    <x v="0"/>
    <x v="2"/>
    <x v="0"/>
    <n v="0.2"/>
    <x v="12"/>
    <x v="16"/>
    <x v="2"/>
    <x v="0"/>
    <x v="1"/>
  </r>
  <r>
    <x v="15"/>
    <x v="14"/>
    <x v="15"/>
    <x v="2"/>
    <n v="6"/>
    <x v="15"/>
    <s v="rbroxuph@jimdo.com"/>
    <x v="0"/>
    <x v="2"/>
    <x v="1"/>
    <n v="1"/>
    <x v="2"/>
    <x v="17"/>
    <x v="2"/>
    <x v="1"/>
    <x v="1"/>
  </r>
  <r>
    <x v="16"/>
    <x v="15"/>
    <x v="16"/>
    <x v="11"/>
    <n v="4"/>
    <x v="16"/>
    <s v="predfordi@ow.ly"/>
    <x v="1"/>
    <x v="0"/>
    <x v="2"/>
    <n v="2.5"/>
    <x v="9"/>
    <x v="18"/>
    <x v="0"/>
    <x v="2"/>
    <x v="0"/>
  </r>
  <r>
    <x v="17"/>
    <x v="16"/>
    <x v="17"/>
    <x v="14"/>
    <n v="5"/>
    <x v="17"/>
    <s v="acorradinoj@harvard.edu"/>
    <x v="0"/>
    <x v="2"/>
    <x v="0"/>
    <n v="0.2"/>
    <x v="12"/>
    <x v="19"/>
    <x v="2"/>
    <x v="0"/>
    <x v="0"/>
  </r>
  <r>
    <x v="17"/>
    <x v="16"/>
    <x v="17"/>
    <x v="15"/>
    <n v="4"/>
    <x v="17"/>
    <s v="acorradinoj@harvard.edu"/>
    <x v="0"/>
    <x v="1"/>
    <x v="2"/>
    <n v="0.2"/>
    <x v="13"/>
    <x v="20"/>
    <x v="1"/>
    <x v="2"/>
    <x v="0"/>
  </r>
  <r>
    <x v="18"/>
    <x v="16"/>
    <x v="18"/>
    <x v="16"/>
    <n v="6"/>
    <x v="18"/>
    <s v="adavidowskyl@netvibes.com"/>
    <x v="0"/>
    <x v="2"/>
    <x v="2"/>
    <n v="0.2"/>
    <x v="14"/>
    <x v="8"/>
    <x v="2"/>
    <x v="2"/>
    <x v="1"/>
  </r>
  <r>
    <x v="19"/>
    <x v="17"/>
    <x v="19"/>
    <x v="13"/>
    <n v="4"/>
    <x v="19"/>
    <s v="aantukm@kickstarter.com"/>
    <x v="0"/>
    <x v="0"/>
    <x v="0"/>
    <n v="2.5"/>
    <x v="11"/>
    <x v="21"/>
    <x v="0"/>
    <x v="0"/>
    <x v="0"/>
  </r>
  <r>
    <x v="20"/>
    <x v="18"/>
    <x v="20"/>
    <x v="16"/>
    <n v="4"/>
    <x v="20"/>
    <s v="ikleinertn@timesonline.co.uk"/>
    <x v="0"/>
    <x v="2"/>
    <x v="2"/>
    <n v="0.2"/>
    <x v="14"/>
    <x v="22"/>
    <x v="2"/>
    <x v="2"/>
    <x v="0"/>
  </r>
  <r>
    <x v="21"/>
    <x v="19"/>
    <x v="21"/>
    <x v="17"/>
    <n v="1"/>
    <x v="21"/>
    <s v="cblofeldo@amazon.co.uk"/>
    <x v="0"/>
    <x v="2"/>
    <x v="0"/>
    <n v="1"/>
    <x v="15"/>
    <x v="23"/>
    <x v="2"/>
    <x v="0"/>
    <x v="1"/>
  </r>
  <r>
    <x v="22"/>
    <x v="20"/>
    <x v="22"/>
    <x v="18"/>
    <n v="3"/>
    <x v="22"/>
    <s v=""/>
    <x v="0"/>
    <x v="1"/>
    <x v="0"/>
    <n v="0.2"/>
    <x v="16"/>
    <x v="24"/>
    <x v="1"/>
    <x v="0"/>
    <x v="0"/>
  </r>
  <r>
    <x v="23"/>
    <x v="21"/>
    <x v="23"/>
    <x v="19"/>
    <n v="4"/>
    <x v="23"/>
    <s v="sshalesq@umich.edu"/>
    <x v="0"/>
    <x v="2"/>
    <x v="0"/>
    <n v="0.5"/>
    <x v="17"/>
    <x v="25"/>
    <x v="2"/>
    <x v="0"/>
    <x v="0"/>
  </r>
  <r>
    <x v="24"/>
    <x v="22"/>
    <x v="24"/>
    <x v="14"/>
    <n v="5"/>
    <x v="24"/>
    <s v="vdanneilr@mtv.com"/>
    <x v="1"/>
    <x v="2"/>
    <x v="0"/>
    <n v="0.2"/>
    <x v="12"/>
    <x v="19"/>
    <x v="2"/>
    <x v="0"/>
    <x v="1"/>
  </r>
  <r>
    <x v="25"/>
    <x v="23"/>
    <x v="25"/>
    <x v="20"/>
    <n v="3"/>
    <x v="25"/>
    <s v="tnewburys@usda.gov"/>
    <x v="1"/>
    <x v="2"/>
    <x v="2"/>
    <n v="0.5"/>
    <x v="7"/>
    <x v="8"/>
    <x v="2"/>
    <x v="2"/>
    <x v="1"/>
  </r>
  <r>
    <x v="26"/>
    <x v="21"/>
    <x v="26"/>
    <x v="9"/>
    <n v="4"/>
    <x v="26"/>
    <s v="mcalcuttt@baidu.com"/>
    <x v="1"/>
    <x v="2"/>
    <x v="2"/>
    <n v="1"/>
    <x v="0"/>
    <x v="10"/>
    <x v="2"/>
    <x v="2"/>
    <x v="0"/>
  </r>
  <r>
    <x v="27"/>
    <x v="24"/>
    <x v="27"/>
    <x v="21"/>
    <n v="5"/>
    <x v="27"/>
    <s v=""/>
    <x v="0"/>
    <x v="3"/>
    <x v="0"/>
    <n v="0.2"/>
    <x v="18"/>
    <x v="26"/>
    <x v="3"/>
    <x v="0"/>
    <x v="1"/>
  </r>
  <r>
    <x v="27"/>
    <x v="24"/>
    <x v="27"/>
    <x v="20"/>
    <n v="6"/>
    <x v="27"/>
    <s v=""/>
    <x v="0"/>
    <x v="2"/>
    <x v="2"/>
    <n v="0.5"/>
    <x v="7"/>
    <x v="27"/>
    <x v="2"/>
    <x v="2"/>
    <x v="1"/>
  </r>
  <r>
    <x v="27"/>
    <x v="24"/>
    <x v="27"/>
    <x v="22"/>
    <n v="6"/>
    <x v="27"/>
    <s v=""/>
    <x v="0"/>
    <x v="3"/>
    <x v="0"/>
    <n v="0.5"/>
    <x v="19"/>
    <x v="28"/>
    <x v="3"/>
    <x v="0"/>
    <x v="1"/>
  </r>
  <r>
    <x v="28"/>
    <x v="25"/>
    <x v="28"/>
    <x v="7"/>
    <n v="5"/>
    <x v="28"/>
    <s v="ggatheralx@123-reg.co.uk"/>
    <x v="0"/>
    <x v="3"/>
    <x v="1"/>
    <n v="0.2"/>
    <x v="6"/>
    <x v="29"/>
    <x v="3"/>
    <x v="1"/>
    <x v="1"/>
  </r>
  <r>
    <x v="29"/>
    <x v="26"/>
    <x v="29"/>
    <x v="23"/>
    <n v="6"/>
    <x v="29"/>
    <s v="uwelberryy@ebay.co.uk"/>
    <x v="2"/>
    <x v="3"/>
    <x v="1"/>
    <n v="0.5"/>
    <x v="20"/>
    <x v="30"/>
    <x v="3"/>
    <x v="1"/>
    <x v="0"/>
  </r>
  <r>
    <x v="30"/>
    <x v="27"/>
    <x v="30"/>
    <x v="20"/>
    <n v="6"/>
    <x v="30"/>
    <s v="feilhartz@who.int"/>
    <x v="0"/>
    <x v="2"/>
    <x v="2"/>
    <n v="0.5"/>
    <x v="7"/>
    <x v="27"/>
    <x v="2"/>
    <x v="2"/>
    <x v="1"/>
  </r>
  <r>
    <x v="31"/>
    <x v="28"/>
    <x v="31"/>
    <x v="21"/>
    <n v="2"/>
    <x v="31"/>
    <s v="zponting10@altervista.org"/>
    <x v="0"/>
    <x v="3"/>
    <x v="0"/>
    <n v="0.2"/>
    <x v="18"/>
    <x v="31"/>
    <x v="3"/>
    <x v="0"/>
    <x v="1"/>
  </r>
  <r>
    <x v="32"/>
    <x v="29"/>
    <x v="32"/>
    <x v="23"/>
    <n v="3"/>
    <x v="32"/>
    <s v="sstrase11@booking.com"/>
    <x v="0"/>
    <x v="3"/>
    <x v="1"/>
    <n v="0.5"/>
    <x v="20"/>
    <x v="32"/>
    <x v="3"/>
    <x v="1"/>
    <x v="1"/>
  </r>
  <r>
    <x v="33"/>
    <x v="30"/>
    <x v="33"/>
    <x v="13"/>
    <n v="5"/>
    <x v="33"/>
    <s v="dde12@unesco.org"/>
    <x v="0"/>
    <x v="0"/>
    <x v="0"/>
    <n v="2.5"/>
    <x v="11"/>
    <x v="15"/>
    <x v="0"/>
    <x v="0"/>
    <x v="1"/>
  </r>
  <r>
    <x v="34"/>
    <x v="31"/>
    <x v="34"/>
    <x v="0"/>
    <n v="6"/>
    <x v="34"/>
    <s v=""/>
    <x v="0"/>
    <x v="0"/>
    <x v="0"/>
    <n v="1"/>
    <x v="0"/>
    <x v="33"/>
    <x v="0"/>
    <x v="0"/>
    <x v="0"/>
  </r>
  <r>
    <x v="35"/>
    <x v="32"/>
    <x v="35"/>
    <x v="24"/>
    <n v="3"/>
    <x v="35"/>
    <s v=""/>
    <x v="0"/>
    <x v="3"/>
    <x v="0"/>
    <n v="1"/>
    <x v="21"/>
    <x v="34"/>
    <x v="3"/>
    <x v="0"/>
    <x v="1"/>
  </r>
  <r>
    <x v="36"/>
    <x v="33"/>
    <x v="36"/>
    <x v="15"/>
    <n v="2"/>
    <x v="36"/>
    <s v="lyeoland15@pbs.org"/>
    <x v="0"/>
    <x v="1"/>
    <x v="2"/>
    <n v="0.2"/>
    <x v="13"/>
    <x v="35"/>
    <x v="1"/>
    <x v="2"/>
    <x v="0"/>
  </r>
  <r>
    <x v="37"/>
    <x v="34"/>
    <x v="37"/>
    <x v="25"/>
    <n v="3"/>
    <x v="37"/>
    <s v="atolworthy16@toplist.cz"/>
    <x v="0"/>
    <x v="0"/>
    <x v="2"/>
    <n v="0.2"/>
    <x v="22"/>
    <x v="36"/>
    <x v="0"/>
    <x v="2"/>
    <x v="0"/>
  </r>
  <r>
    <x v="38"/>
    <x v="35"/>
    <x v="38"/>
    <x v="26"/>
    <n v="2"/>
    <x v="38"/>
    <s v=""/>
    <x v="0"/>
    <x v="3"/>
    <x v="1"/>
    <n v="2.5"/>
    <x v="23"/>
    <x v="37"/>
    <x v="3"/>
    <x v="1"/>
    <x v="1"/>
  </r>
  <r>
    <x v="39"/>
    <x v="36"/>
    <x v="39"/>
    <x v="1"/>
    <n v="2"/>
    <x v="39"/>
    <s v="obaudassi18@seesaa.net"/>
    <x v="0"/>
    <x v="1"/>
    <x v="0"/>
    <n v="0.5"/>
    <x v="1"/>
    <x v="38"/>
    <x v="1"/>
    <x v="0"/>
    <x v="0"/>
  </r>
  <r>
    <x v="40"/>
    <x v="37"/>
    <x v="40"/>
    <x v="27"/>
    <n v="6"/>
    <x v="40"/>
    <s v="pkingsbury19@comcast.net"/>
    <x v="0"/>
    <x v="3"/>
    <x v="2"/>
    <n v="2.5"/>
    <x v="24"/>
    <x v="39"/>
    <x v="3"/>
    <x v="2"/>
    <x v="1"/>
  </r>
  <r>
    <x v="41"/>
    <x v="38"/>
    <x v="41"/>
    <x v="28"/>
    <n v="2"/>
    <x v="41"/>
    <s v=""/>
    <x v="0"/>
    <x v="1"/>
    <x v="0"/>
    <n v="2.5"/>
    <x v="25"/>
    <x v="40"/>
    <x v="1"/>
    <x v="0"/>
    <x v="0"/>
  </r>
  <r>
    <x v="42"/>
    <x v="39"/>
    <x v="42"/>
    <x v="29"/>
    <n v="2"/>
    <x v="42"/>
    <s v="acurley1b@hao123.com"/>
    <x v="0"/>
    <x v="2"/>
    <x v="1"/>
    <n v="0.2"/>
    <x v="10"/>
    <x v="41"/>
    <x v="2"/>
    <x v="1"/>
    <x v="0"/>
  </r>
  <r>
    <x v="43"/>
    <x v="40"/>
    <x v="43"/>
    <x v="30"/>
    <n v="4"/>
    <x v="43"/>
    <s v="rmcgilvary1c@tamu.edu"/>
    <x v="0"/>
    <x v="2"/>
    <x v="2"/>
    <n v="2.5"/>
    <x v="11"/>
    <x v="21"/>
    <x v="2"/>
    <x v="2"/>
    <x v="1"/>
  </r>
  <r>
    <x v="44"/>
    <x v="41"/>
    <x v="44"/>
    <x v="2"/>
    <n v="3"/>
    <x v="44"/>
    <s v="ipikett1d@xinhuanet.com"/>
    <x v="0"/>
    <x v="2"/>
    <x v="1"/>
    <n v="1"/>
    <x v="2"/>
    <x v="5"/>
    <x v="2"/>
    <x v="1"/>
    <x v="1"/>
  </r>
  <r>
    <x v="45"/>
    <x v="42"/>
    <x v="45"/>
    <x v="31"/>
    <n v="2"/>
    <x v="45"/>
    <s v="ibouldon1e@gizmodo.com"/>
    <x v="0"/>
    <x v="3"/>
    <x v="2"/>
    <n v="0.5"/>
    <x v="26"/>
    <x v="42"/>
    <x v="3"/>
    <x v="2"/>
    <x v="1"/>
  </r>
  <r>
    <x v="46"/>
    <x v="43"/>
    <x v="46"/>
    <x v="26"/>
    <n v="4"/>
    <x v="46"/>
    <s v="kflanders1f@over-blog.com"/>
    <x v="1"/>
    <x v="3"/>
    <x v="1"/>
    <n v="2.5"/>
    <x v="23"/>
    <x v="43"/>
    <x v="3"/>
    <x v="1"/>
    <x v="0"/>
  </r>
  <r>
    <x v="47"/>
    <x v="44"/>
    <x v="47"/>
    <x v="8"/>
    <n v="5"/>
    <x v="47"/>
    <s v="hmattioli1g@webmd.com"/>
    <x v="2"/>
    <x v="0"/>
    <x v="0"/>
    <n v="0.5"/>
    <x v="7"/>
    <x v="44"/>
    <x v="0"/>
    <x v="0"/>
    <x v="1"/>
  </r>
  <r>
    <x v="47"/>
    <x v="44"/>
    <x v="47"/>
    <x v="26"/>
    <n v="2"/>
    <x v="47"/>
    <s v="hmattioli1g@webmd.com"/>
    <x v="2"/>
    <x v="3"/>
    <x v="1"/>
    <n v="2.5"/>
    <x v="23"/>
    <x v="37"/>
    <x v="3"/>
    <x v="1"/>
    <x v="1"/>
  </r>
  <r>
    <x v="48"/>
    <x v="45"/>
    <x v="48"/>
    <x v="24"/>
    <n v="5"/>
    <x v="48"/>
    <s v="agillard1i@issuu.com"/>
    <x v="0"/>
    <x v="3"/>
    <x v="0"/>
    <n v="1"/>
    <x v="21"/>
    <x v="45"/>
    <x v="3"/>
    <x v="0"/>
    <x v="1"/>
  </r>
  <r>
    <x v="49"/>
    <x v="46"/>
    <x v="49"/>
    <x v="32"/>
    <n v="3"/>
    <x v="49"/>
    <s v=""/>
    <x v="0"/>
    <x v="3"/>
    <x v="1"/>
    <n v="1"/>
    <x v="27"/>
    <x v="46"/>
    <x v="3"/>
    <x v="1"/>
    <x v="1"/>
  </r>
  <r>
    <x v="50"/>
    <x v="47"/>
    <x v="50"/>
    <x v="15"/>
    <n v="3"/>
    <x v="50"/>
    <s v="tgrizard1k@odnoklassniki.ru"/>
    <x v="0"/>
    <x v="1"/>
    <x v="2"/>
    <n v="0.2"/>
    <x v="13"/>
    <x v="47"/>
    <x v="1"/>
    <x v="2"/>
    <x v="0"/>
  </r>
  <r>
    <x v="51"/>
    <x v="48"/>
    <x v="51"/>
    <x v="33"/>
    <n v="4"/>
    <x v="51"/>
    <s v="rrelton1l@stanford.edu"/>
    <x v="0"/>
    <x v="1"/>
    <x v="1"/>
    <n v="1"/>
    <x v="28"/>
    <x v="48"/>
    <x v="1"/>
    <x v="1"/>
    <x v="1"/>
  </r>
  <r>
    <x v="52"/>
    <x v="49"/>
    <x v="52"/>
    <x v="27"/>
    <n v="3"/>
    <x v="52"/>
    <s v=""/>
    <x v="0"/>
    <x v="3"/>
    <x v="2"/>
    <n v="2.5"/>
    <x v="24"/>
    <x v="49"/>
    <x v="3"/>
    <x v="2"/>
    <x v="0"/>
  </r>
  <r>
    <x v="53"/>
    <x v="50"/>
    <x v="53"/>
    <x v="22"/>
    <n v="3"/>
    <x v="53"/>
    <s v="sgilroy1n@eepurl.com"/>
    <x v="0"/>
    <x v="3"/>
    <x v="0"/>
    <n v="0.5"/>
    <x v="19"/>
    <x v="50"/>
    <x v="3"/>
    <x v="0"/>
    <x v="0"/>
  </r>
  <r>
    <x v="54"/>
    <x v="51"/>
    <x v="54"/>
    <x v="30"/>
    <n v="5"/>
    <x v="54"/>
    <s v="ccottingham1o@wikipedia.org"/>
    <x v="0"/>
    <x v="2"/>
    <x v="2"/>
    <n v="2.5"/>
    <x v="11"/>
    <x v="15"/>
    <x v="2"/>
    <x v="2"/>
    <x v="1"/>
  </r>
  <r>
    <x v="55"/>
    <x v="52"/>
    <x v="55"/>
    <x v="34"/>
    <n v="5"/>
    <x v="55"/>
    <s v=""/>
    <x v="2"/>
    <x v="0"/>
    <x v="2"/>
    <n v="0.5"/>
    <x v="29"/>
    <x v="51"/>
    <x v="0"/>
    <x v="2"/>
    <x v="0"/>
  </r>
  <r>
    <x v="56"/>
    <x v="53"/>
    <x v="56"/>
    <x v="7"/>
    <n v="5"/>
    <x v="56"/>
    <s v=""/>
    <x v="0"/>
    <x v="3"/>
    <x v="1"/>
    <n v="0.2"/>
    <x v="6"/>
    <x v="29"/>
    <x v="3"/>
    <x v="1"/>
    <x v="0"/>
  </r>
  <r>
    <x v="57"/>
    <x v="54"/>
    <x v="57"/>
    <x v="19"/>
    <n v="1"/>
    <x v="57"/>
    <s v="adykes1r@eventbrite.com"/>
    <x v="0"/>
    <x v="2"/>
    <x v="0"/>
    <n v="0.5"/>
    <x v="17"/>
    <x v="52"/>
    <x v="2"/>
    <x v="0"/>
    <x v="1"/>
  </r>
  <r>
    <x v="58"/>
    <x v="55"/>
    <x v="58"/>
    <x v="8"/>
    <n v="6"/>
    <x v="58"/>
    <s v=""/>
    <x v="0"/>
    <x v="0"/>
    <x v="0"/>
    <n v="0.5"/>
    <x v="7"/>
    <x v="27"/>
    <x v="0"/>
    <x v="0"/>
    <x v="0"/>
  </r>
  <r>
    <x v="59"/>
    <x v="56"/>
    <x v="59"/>
    <x v="11"/>
    <n v="4"/>
    <x v="59"/>
    <s v="acockrem1t@engadget.com"/>
    <x v="0"/>
    <x v="0"/>
    <x v="2"/>
    <n v="2.5"/>
    <x v="9"/>
    <x v="18"/>
    <x v="0"/>
    <x v="2"/>
    <x v="0"/>
  </r>
  <r>
    <x v="60"/>
    <x v="57"/>
    <x v="60"/>
    <x v="35"/>
    <n v="1"/>
    <x v="60"/>
    <s v="bumpleby1u@soundcloud.com"/>
    <x v="0"/>
    <x v="0"/>
    <x v="1"/>
    <n v="0.5"/>
    <x v="30"/>
    <x v="53"/>
    <x v="0"/>
    <x v="1"/>
    <x v="0"/>
  </r>
  <r>
    <x v="61"/>
    <x v="58"/>
    <x v="61"/>
    <x v="7"/>
    <n v="2"/>
    <x v="61"/>
    <s v="nsaleway1v@dedecms.com"/>
    <x v="0"/>
    <x v="3"/>
    <x v="1"/>
    <n v="0.2"/>
    <x v="6"/>
    <x v="54"/>
    <x v="3"/>
    <x v="1"/>
    <x v="1"/>
  </r>
  <r>
    <x v="62"/>
    <x v="59"/>
    <x v="62"/>
    <x v="36"/>
    <n v="1"/>
    <x v="62"/>
    <s v="hgoulter1w@abc.net.au"/>
    <x v="0"/>
    <x v="0"/>
    <x v="0"/>
    <n v="0.2"/>
    <x v="14"/>
    <x v="55"/>
    <x v="0"/>
    <x v="0"/>
    <x v="1"/>
  </r>
  <r>
    <x v="63"/>
    <x v="60"/>
    <x v="63"/>
    <x v="0"/>
    <n v="6"/>
    <x v="63"/>
    <s v="grizzello1x@symantec.com"/>
    <x v="2"/>
    <x v="0"/>
    <x v="0"/>
    <n v="1"/>
    <x v="0"/>
    <x v="33"/>
    <x v="0"/>
    <x v="0"/>
    <x v="0"/>
  </r>
  <r>
    <x v="64"/>
    <x v="61"/>
    <x v="64"/>
    <x v="10"/>
    <n v="4"/>
    <x v="64"/>
    <s v="slist1y@mapquest.com"/>
    <x v="0"/>
    <x v="1"/>
    <x v="1"/>
    <n v="2.5"/>
    <x v="8"/>
    <x v="56"/>
    <x v="1"/>
    <x v="1"/>
    <x v="1"/>
  </r>
  <r>
    <x v="65"/>
    <x v="62"/>
    <x v="65"/>
    <x v="7"/>
    <n v="2"/>
    <x v="65"/>
    <s v="sedmondson1z@theguardian.com"/>
    <x v="1"/>
    <x v="3"/>
    <x v="1"/>
    <n v="0.2"/>
    <x v="6"/>
    <x v="54"/>
    <x v="3"/>
    <x v="1"/>
    <x v="1"/>
  </r>
  <r>
    <x v="66"/>
    <x v="63"/>
    <x v="66"/>
    <x v="37"/>
    <n v="3"/>
    <x v="66"/>
    <s v=""/>
    <x v="0"/>
    <x v="2"/>
    <x v="0"/>
    <n v="2.5"/>
    <x v="31"/>
    <x v="57"/>
    <x v="2"/>
    <x v="0"/>
    <x v="1"/>
  </r>
  <r>
    <x v="67"/>
    <x v="64"/>
    <x v="67"/>
    <x v="21"/>
    <n v="5"/>
    <x v="67"/>
    <s v=""/>
    <x v="0"/>
    <x v="3"/>
    <x v="0"/>
    <n v="0.2"/>
    <x v="18"/>
    <x v="26"/>
    <x v="3"/>
    <x v="0"/>
    <x v="0"/>
  </r>
  <r>
    <x v="68"/>
    <x v="65"/>
    <x v="68"/>
    <x v="38"/>
    <n v="2"/>
    <x v="68"/>
    <s v="jrangall22@newsvine.com"/>
    <x v="0"/>
    <x v="1"/>
    <x v="1"/>
    <n v="0.5"/>
    <x v="32"/>
    <x v="58"/>
    <x v="1"/>
    <x v="1"/>
    <x v="0"/>
  </r>
  <r>
    <x v="69"/>
    <x v="66"/>
    <x v="69"/>
    <x v="39"/>
    <n v="6"/>
    <x v="69"/>
    <s v="kboorn23@ezinearticles.com"/>
    <x v="1"/>
    <x v="0"/>
    <x v="2"/>
    <n v="1"/>
    <x v="33"/>
    <x v="59"/>
    <x v="0"/>
    <x v="2"/>
    <x v="0"/>
  </r>
  <r>
    <x v="70"/>
    <x v="67"/>
    <x v="70"/>
    <x v="40"/>
    <n v="1"/>
    <x v="70"/>
    <s v=""/>
    <x v="1"/>
    <x v="0"/>
    <x v="1"/>
    <n v="0.2"/>
    <x v="34"/>
    <x v="60"/>
    <x v="0"/>
    <x v="1"/>
    <x v="0"/>
  </r>
  <r>
    <x v="71"/>
    <x v="68"/>
    <x v="71"/>
    <x v="15"/>
    <n v="2"/>
    <x v="71"/>
    <s v="celgey25@webs.com"/>
    <x v="0"/>
    <x v="1"/>
    <x v="2"/>
    <n v="0.2"/>
    <x v="13"/>
    <x v="35"/>
    <x v="1"/>
    <x v="2"/>
    <x v="1"/>
  </r>
  <r>
    <x v="72"/>
    <x v="69"/>
    <x v="72"/>
    <x v="19"/>
    <n v="6"/>
    <x v="72"/>
    <s v="lmizzi26@rakuten.co.jp"/>
    <x v="0"/>
    <x v="2"/>
    <x v="0"/>
    <n v="0.5"/>
    <x v="17"/>
    <x v="61"/>
    <x v="2"/>
    <x v="0"/>
    <x v="0"/>
  </r>
  <r>
    <x v="73"/>
    <x v="70"/>
    <x v="73"/>
    <x v="41"/>
    <n v="4"/>
    <x v="73"/>
    <s v="cgiacomazzo27@jigsy.com"/>
    <x v="0"/>
    <x v="0"/>
    <x v="1"/>
    <n v="1"/>
    <x v="35"/>
    <x v="62"/>
    <x v="0"/>
    <x v="1"/>
    <x v="1"/>
  </r>
  <r>
    <x v="74"/>
    <x v="71"/>
    <x v="74"/>
    <x v="42"/>
    <n v="5"/>
    <x v="74"/>
    <s v="aarnow28@arizona.edu"/>
    <x v="0"/>
    <x v="2"/>
    <x v="1"/>
    <n v="0.5"/>
    <x v="26"/>
    <x v="5"/>
    <x v="2"/>
    <x v="1"/>
    <x v="0"/>
  </r>
  <r>
    <x v="75"/>
    <x v="72"/>
    <x v="75"/>
    <x v="26"/>
    <n v="3"/>
    <x v="75"/>
    <s v="syann29@senate.gov"/>
    <x v="0"/>
    <x v="3"/>
    <x v="1"/>
    <n v="2.5"/>
    <x v="23"/>
    <x v="63"/>
    <x v="3"/>
    <x v="1"/>
    <x v="0"/>
  </r>
  <r>
    <x v="76"/>
    <x v="73"/>
    <x v="76"/>
    <x v="43"/>
    <n v="3"/>
    <x v="76"/>
    <s v="bnaulls2a@tiny.cc"/>
    <x v="1"/>
    <x v="3"/>
    <x v="0"/>
    <n v="2.5"/>
    <x v="36"/>
    <x v="64"/>
    <x v="3"/>
    <x v="0"/>
    <x v="0"/>
  </r>
  <r>
    <x v="77"/>
    <x v="74"/>
    <x v="77"/>
    <x v="11"/>
    <n v="4"/>
    <x v="77"/>
    <s v=""/>
    <x v="0"/>
    <x v="0"/>
    <x v="2"/>
    <n v="2.5"/>
    <x v="9"/>
    <x v="18"/>
    <x v="0"/>
    <x v="2"/>
    <x v="0"/>
  </r>
  <r>
    <x v="78"/>
    <x v="75"/>
    <x v="78"/>
    <x v="23"/>
    <n v="1"/>
    <x v="78"/>
    <s v="zsherewood2c@apache.org"/>
    <x v="0"/>
    <x v="3"/>
    <x v="1"/>
    <n v="0.5"/>
    <x v="20"/>
    <x v="54"/>
    <x v="3"/>
    <x v="1"/>
    <x v="1"/>
  </r>
  <r>
    <x v="79"/>
    <x v="76"/>
    <x v="79"/>
    <x v="44"/>
    <n v="3"/>
    <x v="79"/>
    <s v="jdufaire2d@fc2.com"/>
    <x v="0"/>
    <x v="2"/>
    <x v="1"/>
    <n v="2.5"/>
    <x v="24"/>
    <x v="49"/>
    <x v="2"/>
    <x v="1"/>
    <x v="1"/>
  </r>
  <r>
    <x v="79"/>
    <x v="76"/>
    <x v="79"/>
    <x v="16"/>
    <n v="4"/>
    <x v="79"/>
    <s v="jdufaire2d@fc2.com"/>
    <x v="0"/>
    <x v="2"/>
    <x v="2"/>
    <n v="0.2"/>
    <x v="14"/>
    <x v="22"/>
    <x v="2"/>
    <x v="2"/>
    <x v="1"/>
  </r>
  <r>
    <x v="80"/>
    <x v="77"/>
    <x v="80"/>
    <x v="17"/>
    <n v="3"/>
    <x v="80"/>
    <s v="bkeaveney2f@netlog.com"/>
    <x v="0"/>
    <x v="2"/>
    <x v="0"/>
    <n v="1"/>
    <x v="15"/>
    <x v="65"/>
    <x v="2"/>
    <x v="0"/>
    <x v="1"/>
  </r>
  <r>
    <x v="81"/>
    <x v="78"/>
    <x v="81"/>
    <x v="41"/>
    <n v="3"/>
    <x v="81"/>
    <s v="egrise2g@cargocollective.com"/>
    <x v="0"/>
    <x v="0"/>
    <x v="1"/>
    <n v="1"/>
    <x v="35"/>
    <x v="66"/>
    <x v="0"/>
    <x v="1"/>
    <x v="1"/>
  </r>
  <r>
    <x v="82"/>
    <x v="79"/>
    <x v="82"/>
    <x v="2"/>
    <n v="6"/>
    <x v="82"/>
    <s v="tgottelier2h@vistaprint.com"/>
    <x v="0"/>
    <x v="2"/>
    <x v="1"/>
    <n v="1"/>
    <x v="2"/>
    <x v="17"/>
    <x v="2"/>
    <x v="1"/>
    <x v="1"/>
  </r>
  <r>
    <x v="83"/>
    <x v="80"/>
    <x v="83"/>
    <x v="2"/>
    <n v="4"/>
    <x v="83"/>
    <s v=""/>
    <x v="1"/>
    <x v="2"/>
    <x v="1"/>
    <n v="1"/>
    <x v="2"/>
    <x v="67"/>
    <x v="2"/>
    <x v="1"/>
    <x v="0"/>
  </r>
  <r>
    <x v="84"/>
    <x v="81"/>
    <x v="84"/>
    <x v="37"/>
    <n v="4"/>
    <x v="84"/>
    <s v="agreenhead2j@dailymail.co.uk"/>
    <x v="0"/>
    <x v="2"/>
    <x v="0"/>
    <n v="2.5"/>
    <x v="31"/>
    <x v="68"/>
    <x v="2"/>
    <x v="0"/>
    <x v="1"/>
  </r>
  <r>
    <x v="85"/>
    <x v="82"/>
    <x v="85"/>
    <x v="33"/>
    <n v="3"/>
    <x v="85"/>
    <s v=""/>
    <x v="0"/>
    <x v="1"/>
    <x v="1"/>
    <n v="1"/>
    <x v="28"/>
    <x v="69"/>
    <x v="1"/>
    <x v="1"/>
    <x v="0"/>
  </r>
  <r>
    <x v="86"/>
    <x v="83"/>
    <x v="86"/>
    <x v="38"/>
    <n v="4"/>
    <x v="86"/>
    <s v="elangcaster2l@spotify.com"/>
    <x v="2"/>
    <x v="1"/>
    <x v="1"/>
    <n v="0.5"/>
    <x v="32"/>
    <x v="70"/>
    <x v="1"/>
    <x v="1"/>
    <x v="0"/>
  </r>
  <r>
    <x v="87"/>
    <x v="84"/>
    <x v="87"/>
    <x v="16"/>
    <n v="6"/>
    <x v="87"/>
    <s v=""/>
    <x v="1"/>
    <x v="2"/>
    <x v="2"/>
    <n v="0.2"/>
    <x v="14"/>
    <x v="8"/>
    <x v="2"/>
    <x v="2"/>
    <x v="0"/>
  </r>
  <r>
    <x v="88"/>
    <x v="85"/>
    <x v="88"/>
    <x v="37"/>
    <n v="6"/>
    <x v="88"/>
    <s v="nmagauran2n@51.la"/>
    <x v="0"/>
    <x v="2"/>
    <x v="0"/>
    <n v="2.5"/>
    <x v="31"/>
    <x v="71"/>
    <x v="2"/>
    <x v="0"/>
    <x v="1"/>
  </r>
  <r>
    <x v="89"/>
    <x v="86"/>
    <x v="89"/>
    <x v="16"/>
    <n v="2"/>
    <x v="89"/>
    <s v="vkirdsch2o@google.fr"/>
    <x v="0"/>
    <x v="2"/>
    <x v="2"/>
    <n v="0.2"/>
    <x v="14"/>
    <x v="9"/>
    <x v="2"/>
    <x v="2"/>
    <x v="1"/>
  </r>
  <r>
    <x v="90"/>
    <x v="87"/>
    <x v="90"/>
    <x v="19"/>
    <n v="2"/>
    <x v="90"/>
    <s v="iwhapple2p@com.com"/>
    <x v="0"/>
    <x v="2"/>
    <x v="0"/>
    <n v="0.5"/>
    <x v="17"/>
    <x v="72"/>
    <x v="2"/>
    <x v="0"/>
    <x v="1"/>
  </r>
  <r>
    <x v="91"/>
    <x v="25"/>
    <x v="91"/>
    <x v="16"/>
    <n v="1"/>
    <x v="91"/>
    <s v=""/>
    <x v="1"/>
    <x v="2"/>
    <x v="2"/>
    <n v="0.2"/>
    <x v="14"/>
    <x v="55"/>
    <x v="2"/>
    <x v="2"/>
    <x v="1"/>
  </r>
  <r>
    <x v="92"/>
    <x v="88"/>
    <x v="92"/>
    <x v="21"/>
    <n v="3"/>
    <x v="92"/>
    <s v=""/>
    <x v="0"/>
    <x v="3"/>
    <x v="0"/>
    <n v="0.2"/>
    <x v="18"/>
    <x v="73"/>
    <x v="3"/>
    <x v="0"/>
    <x v="0"/>
  </r>
  <r>
    <x v="93"/>
    <x v="89"/>
    <x v="93"/>
    <x v="29"/>
    <n v="2"/>
    <x v="93"/>
    <s v=""/>
    <x v="0"/>
    <x v="2"/>
    <x v="1"/>
    <n v="0.2"/>
    <x v="10"/>
    <x v="41"/>
    <x v="2"/>
    <x v="1"/>
    <x v="0"/>
  </r>
  <r>
    <x v="94"/>
    <x v="90"/>
    <x v="94"/>
    <x v="27"/>
    <n v="5"/>
    <x v="94"/>
    <s v="nyoules2t@reference.com"/>
    <x v="1"/>
    <x v="3"/>
    <x v="2"/>
    <n v="2.5"/>
    <x v="24"/>
    <x v="74"/>
    <x v="3"/>
    <x v="2"/>
    <x v="0"/>
  </r>
  <r>
    <x v="95"/>
    <x v="91"/>
    <x v="95"/>
    <x v="5"/>
    <n v="3"/>
    <x v="95"/>
    <s v="daizikovitz2u@answers.com"/>
    <x v="1"/>
    <x v="3"/>
    <x v="2"/>
    <n v="1"/>
    <x v="2"/>
    <x v="5"/>
    <x v="3"/>
    <x v="2"/>
    <x v="0"/>
  </r>
  <r>
    <x v="96"/>
    <x v="92"/>
    <x v="96"/>
    <x v="36"/>
    <n v="4"/>
    <x v="96"/>
    <s v="brevel2v@fastcompany.com"/>
    <x v="0"/>
    <x v="0"/>
    <x v="0"/>
    <n v="0.2"/>
    <x v="14"/>
    <x v="22"/>
    <x v="0"/>
    <x v="0"/>
    <x v="1"/>
  </r>
  <r>
    <x v="97"/>
    <x v="93"/>
    <x v="97"/>
    <x v="24"/>
    <n v="6"/>
    <x v="97"/>
    <s v="epriddis2w@nationalgeographic.com"/>
    <x v="0"/>
    <x v="3"/>
    <x v="0"/>
    <n v="1"/>
    <x v="21"/>
    <x v="75"/>
    <x v="3"/>
    <x v="0"/>
    <x v="1"/>
  </r>
  <r>
    <x v="98"/>
    <x v="94"/>
    <x v="98"/>
    <x v="19"/>
    <n v="6"/>
    <x v="98"/>
    <s v="qveel2x@jugem.jp"/>
    <x v="0"/>
    <x v="2"/>
    <x v="0"/>
    <n v="0.5"/>
    <x v="17"/>
    <x v="61"/>
    <x v="2"/>
    <x v="0"/>
    <x v="0"/>
  </r>
  <r>
    <x v="99"/>
    <x v="95"/>
    <x v="99"/>
    <x v="45"/>
    <n v="2"/>
    <x v="99"/>
    <s v="lconyers2y@twitter.com"/>
    <x v="0"/>
    <x v="1"/>
    <x v="2"/>
    <n v="1"/>
    <x v="37"/>
    <x v="76"/>
    <x v="1"/>
    <x v="2"/>
    <x v="1"/>
  </r>
  <r>
    <x v="100"/>
    <x v="96"/>
    <x v="100"/>
    <x v="8"/>
    <n v="3"/>
    <x v="100"/>
    <s v="pwye2z@dagondesign.com"/>
    <x v="0"/>
    <x v="0"/>
    <x v="0"/>
    <n v="0.5"/>
    <x v="7"/>
    <x v="8"/>
    <x v="0"/>
    <x v="0"/>
    <x v="0"/>
  </r>
  <r>
    <x v="101"/>
    <x v="97"/>
    <x v="101"/>
    <x v="19"/>
    <n v="4"/>
    <x v="101"/>
    <s v=""/>
    <x v="0"/>
    <x v="2"/>
    <x v="0"/>
    <n v="0.5"/>
    <x v="17"/>
    <x v="25"/>
    <x v="2"/>
    <x v="0"/>
    <x v="1"/>
  </r>
  <r>
    <x v="102"/>
    <x v="98"/>
    <x v="102"/>
    <x v="31"/>
    <n v="1"/>
    <x v="102"/>
    <s v="tsheryn31@mtv.com"/>
    <x v="0"/>
    <x v="3"/>
    <x v="2"/>
    <n v="0.5"/>
    <x v="26"/>
    <x v="41"/>
    <x v="3"/>
    <x v="2"/>
    <x v="0"/>
  </r>
  <r>
    <x v="103"/>
    <x v="99"/>
    <x v="103"/>
    <x v="46"/>
    <n v="3"/>
    <x v="103"/>
    <s v="mredgrave32@cargocollective.com"/>
    <x v="0"/>
    <x v="1"/>
    <x v="1"/>
    <n v="0.2"/>
    <x v="38"/>
    <x v="77"/>
    <x v="1"/>
    <x v="1"/>
    <x v="0"/>
  </r>
  <r>
    <x v="104"/>
    <x v="100"/>
    <x v="104"/>
    <x v="34"/>
    <n v="5"/>
    <x v="104"/>
    <s v="bfominov33@yale.edu"/>
    <x v="0"/>
    <x v="0"/>
    <x v="2"/>
    <n v="0.5"/>
    <x v="29"/>
    <x v="51"/>
    <x v="0"/>
    <x v="2"/>
    <x v="1"/>
  </r>
  <r>
    <x v="105"/>
    <x v="101"/>
    <x v="105"/>
    <x v="17"/>
    <n v="1"/>
    <x v="105"/>
    <s v="scritchlow34@un.org"/>
    <x v="0"/>
    <x v="2"/>
    <x v="0"/>
    <n v="1"/>
    <x v="15"/>
    <x v="23"/>
    <x v="2"/>
    <x v="0"/>
    <x v="1"/>
  </r>
  <r>
    <x v="106"/>
    <x v="102"/>
    <x v="106"/>
    <x v="24"/>
    <n v="1"/>
    <x v="106"/>
    <s v="msteptow35@earthlink.net"/>
    <x v="1"/>
    <x v="3"/>
    <x v="0"/>
    <n v="1"/>
    <x v="21"/>
    <x v="78"/>
    <x v="3"/>
    <x v="0"/>
    <x v="1"/>
  </r>
  <r>
    <x v="107"/>
    <x v="103"/>
    <x v="107"/>
    <x v="40"/>
    <n v="4"/>
    <x v="107"/>
    <s v=""/>
    <x v="0"/>
    <x v="0"/>
    <x v="1"/>
    <n v="0.2"/>
    <x v="34"/>
    <x v="79"/>
    <x v="0"/>
    <x v="1"/>
    <x v="1"/>
  </r>
  <r>
    <x v="108"/>
    <x v="104"/>
    <x v="108"/>
    <x v="32"/>
    <n v="1"/>
    <x v="108"/>
    <s v="imulliner37@pinterest.com"/>
    <x v="2"/>
    <x v="3"/>
    <x v="1"/>
    <n v="1"/>
    <x v="27"/>
    <x v="80"/>
    <x v="3"/>
    <x v="1"/>
    <x v="1"/>
  </r>
  <r>
    <x v="109"/>
    <x v="105"/>
    <x v="109"/>
    <x v="7"/>
    <n v="4"/>
    <x v="109"/>
    <s v="gstandley38@dion.ne.jp"/>
    <x v="1"/>
    <x v="3"/>
    <x v="1"/>
    <n v="0.2"/>
    <x v="6"/>
    <x v="81"/>
    <x v="3"/>
    <x v="1"/>
    <x v="0"/>
  </r>
  <r>
    <x v="110"/>
    <x v="11"/>
    <x v="110"/>
    <x v="23"/>
    <n v="4"/>
    <x v="110"/>
    <s v="bdrage39@youku.com"/>
    <x v="0"/>
    <x v="3"/>
    <x v="1"/>
    <n v="0.5"/>
    <x v="20"/>
    <x v="82"/>
    <x v="3"/>
    <x v="1"/>
    <x v="1"/>
  </r>
  <r>
    <x v="111"/>
    <x v="106"/>
    <x v="111"/>
    <x v="6"/>
    <n v="3"/>
    <x v="111"/>
    <s v="myallop3a@fema.gov"/>
    <x v="0"/>
    <x v="1"/>
    <x v="2"/>
    <n v="0.5"/>
    <x v="5"/>
    <x v="6"/>
    <x v="1"/>
    <x v="2"/>
    <x v="0"/>
  </r>
  <r>
    <x v="112"/>
    <x v="107"/>
    <x v="112"/>
    <x v="18"/>
    <n v="1"/>
    <x v="112"/>
    <s v="cswitsur3b@chronoengine.com"/>
    <x v="0"/>
    <x v="1"/>
    <x v="0"/>
    <n v="0.2"/>
    <x v="16"/>
    <x v="83"/>
    <x v="1"/>
    <x v="0"/>
    <x v="1"/>
  </r>
  <r>
    <x v="112"/>
    <x v="107"/>
    <x v="112"/>
    <x v="29"/>
    <n v="1"/>
    <x v="112"/>
    <s v="cswitsur3b@chronoengine.com"/>
    <x v="0"/>
    <x v="2"/>
    <x v="1"/>
    <n v="0.2"/>
    <x v="10"/>
    <x v="84"/>
    <x v="2"/>
    <x v="1"/>
    <x v="1"/>
  </r>
  <r>
    <x v="112"/>
    <x v="107"/>
    <x v="112"/>
    <x v="3"/>
    <n v="5"/>
    <x v="112"/>
    <s v="cswitsur3b@chronoengine.com"/>
    <x v="0"/>
    <x v="1"/>
    <x v="0"/>
    <n v="1"/>
    <x v="3"/>
    <x v="85"/>
    <x v="1"/>
    <x v="0"/>
    <x v="1"/>
  </r>
  <r>
    <x v="113"/>
    <x v="108"/>
    <x v="113"/>
    <x v="20"/>
    <n v="4"/>
    <x v="113"/>
    <s v="mludwell3e@blogger.com"/>
    <x v="0"/>
    <x v="2"/>
    <x v="2"/>
    <n v="0.5"/>
    <x v="7"/>
    <x v="86"/>
    <x v="2"/>
    <x v="2"/>
    <x v="0"/>
  </r>
  <r>
    <x v="114"/>
    <x v="109"/>
    <x v="114"/>
    <x v="26"/>
    <n v="4"/>
    <x v="114"/>
    <s v="dbeauchamp3f@usda.gov"/>
    <x v="0"/>
    <x v="3"/>
    <x v="1"/>
    <n v="2.5"/>
    <x v="23"/>
    <x v="43"/>
    <x v="3"/>
    <x v="1"/>
    <x v="1"/>
  </r>
  <r>
    <x v="115"/>
    <x v="110"/>
    <x v="115"/>
    <x v="21"/>
    <n v="5"/>
    <x v="115"/>
    <s v="srodliff3g@ted.com"/>
    <x v="0"/>
    <x v="3"/>
    <x v="0"/>
    <n v="0.2"/>
    <x v="18"/>
    <x v="26"/>
    <x v="3"/>
    <x v="0"/>
    <x v="0"/>
  </r>
  <r>
    <x v="116"/>
    <x v="111"/>
    <x v="116"/>
    <x v="22"/>
    <n v="3"/>
    <x v="116"/>
    <s v="swoodham3h@businesswire.com"/>
    <x v="1"/>
    <x v="3"/>
    <x v="0"/>
    <n v="0.5"/>
    <x v="19"/>
    <x v="50"/>
    <x v="3"/>
    <x v="0"/>
    <x v="0"/>
  </r>
  <r>
    <x v="117"/>
    <x v="112"/>
    <x v="117"/>
    <x v="17"/>
    <n v="1"/>
    <x v="117"/>
    <s v="hsynnot3i@about.com"/>
    <x v="0"/>
    <x v="2"/>
    <x v="0"/>
    <n v="1"/>
    <x v="15"/>
    <x v="23"/>
    <x v="2"/>
    <x v="0"/>
    <x v="1"/>
  </r>
  <r>
    <x v="118"/>
    <x v="113"/>
    <x v="118"/>
    <x v="5"/>
    <n v="6"/>
    <x v="118"/>
    <s v="rlepere3j@shop-pro.jp"/>
    <x v="1"/>
    <x v="3"/>
    <x v="2"/>
    <n v="1"/>
    <x v="2"/>
    <x v="17"/>
    <x v="3"/>
    <x v="2"/>
    <x v="1"/>
  </r>
  <r>
    <x v="119"/>
    <x v="114"/>
    <x v="119"/>
    <x v="19"/>
    <n v="1"/>
    <x v="119"/>
    <s v="twoofinden3k@businesswire.com"/>
    <x v="0"/>
    <x v="2"/>
    <x v="0"/>
    <n v="0.5"/>
    <x v="17"/>
    <x v="52"/>
    <x v="2"/>
    <x v="0"/>
    <x v="1"/>
  </r>
  <r>
    <x v="120"/>
    <x v="115"/>
    <x v="120"/>
    <x v="45"/>
    <n v="1"/>
    <x v="120"/>
    <s v="edacca3l@google.pl"/>
    <x v="0"/>
    <x v="1"/>
    <x v="2"/>
    <n v="1"/>
    <x v="37"/>
    <x v="87"/>
    <x v="1"/>
    <x v="2"/>
    <x v="0"/>
  </r>
  <r>
    <x v="121"/>
    <x v="49"/>
    <x v="121"/>
    <x v="44"/>
    <n v="5"/>
    <x v="121"/>
    <s v=""/>
    <x v="1"/>
    <x v="2"/>
    <x v="1"/>
    <n v="2.5"/>
    <x v="24"/>
    <x v="74"/>
    <x v="2"/>
    <x v="1"/>
    <x v="0"/>
  </r>
  <r>
    <x v="122"/>
    <x v="116"/>
    <x v="122"/>
    <x v="6"/>
    <n v="2"/>
    <x v="122"/>
    <s v="bhindsberg3n@blogs.com"/>
    <x v="0"/>
    <x v="1"/>
    <x v="2"/>
    <n v="0.5"/>
    <x v="5"/>
    <x v="20"/>
    <x v="1"/>
    <x v="2"/>
    <x v="0"/>
  </r>
  <r>
    <x v="123"/>
    <x v="117"/>
    <x v="123"/>
    <x v="44"/>
    <n v="5"/>
    <x v="123"/>
    <s v="orobins3o@salon.com"/>
    <x v="0"/>
    <x v="2"/>
    <x v="1"/>
    <n v="2.5"/>
    <x v="24"/>
    <x v="74"/>
    <x v="2"/>
    <x v="1"/>
    <x v="0"/>
  </r>
  <r>
    <x v="124"/>
    <x v="118"/>
    <x v="124"/>
    <x v="5"/>
    <n v="1"/>
    <x v="124"/>
    <s v="osyseland3p@independent.co.uk"/>
    <x v="0"/>
    <x v="3"/>
    <x v="2"/>
    <n v="1"/>
    <x v="2"/>
    <x v="2"/>
    <x v="3"/>
    <x v="2"/>
    <x v="1"/>
  </r>
  <r>
    <x v="125"/>
    <x v="119"/>
    <x v="125"/>
    <x v="28"/>
    <n v="3"/>
    <x v="125"/>
    <s v=""/>
    <x v="0"/>
    <x v="1"/>
    <x v="0"/>
    <n v="2.5"/>
    <x v="25"/>
    <x v="88"/>
    <x v="1"/>
    <x v="0"/>
    <x v="0"/>
  </r>
  <r>
    <x v="126"/>
    <x v="120"/>
    <x v="126"/>
    <x v="42"/>
    <n v="5"/>
    <x v="126"/>
    <s v="bmcamish2e@tripadvisor.com"/>
    <x v="0"/>
    <x v="2"/>
    <x v="1"/>
    <n v="0.5"/>
    <x v="26"/>
    <x v="5"/>
    <x v="2"/>
    <x v="1"/>
    <x v="0"/>
  </r>
  <r>
    <x v="127"/>
    <x v="121"/>
    <x v="127"/>
    <x v="16"/>
    <n v="4"/>
    <x v="127"/>
    <s v="lkeenleyside3s@topsy.com"/>
    <x v="0"/>
    <x v="2"/>
    <x v="2"/>
    <n v="0.2"/>
    <x v="14"/>
    <x v="22"/>
    <x v="2"/>
    <x v="2"/>
    <x v="1"/>
  </r>
  <r>
    <x v="128"/>
    <x v="122"/>
    <x v="128"/>
    <x v="10"/>
    <n v="3"/>
    <x v="128"/>
    <s v=""/>
    <x v="1"/>
    <x v="1"/>
    <x v="1"/>
    <n v="2.5"/>
    <x v="8"/>
    <x v="89"/>
    <x v="1"/>
    <x v="1"/>
    <x v="1"/>
  </r>
  <r>
    <x v="129"/>
    <x v="123"/>
    <x v="129"/>
    <x v="45"/>
    <n v="4"/>
    <x v="129"/>
    <s v=""/>
    <x v="0"/>
    <x v="1"/>
    <x v="2"/>
    <n v="1"/>
    <x v="37"/>
    <x v="90"/>
    <x v="1"/>
    <x v="2"/>
    <x v="1"/>
  </r>
  <r>
    <x v="130"/>
    <x v="124"/>
    <x v="130"/>
    <x v="5"/>
    <n v="6"/>
    <x v="130"/>
    <s v=""/>
    <x v="0"/>
    <x v="3"/>
    <x v="2"/>
    <n v="1"/>
    <x v="2"/>
    <x v="17"/>
    <x v="3"/>
    <x v="2"/>
    <x v="0"/>
  </r>
  <r>
    <x v="131"/>
    <x v="125"/>
    <x v="131"/>
    <x v="27"/>
    <n v="1"/>
    <x v="131"/>
    <s v="vkundt3w@bigcartel.com"/>
    <x v="1"/>
    <x v="3"/>
    <x v="2"/>
    <n v="2.5"/>
    <x v="24"/>
    <x v="91"/>
    <x v="3"/>
    <x v="2"/>
    <x v="0"/>
  </r>
  <r>
    <x v="132"/>
    <x v="126"/>
    <x v="132"/>
    <x v="29"/>
    <n v="4"/>
    <x v="132"/>
    <s v="bbett3x@google.de"/>
    <x v="0"/>
    <x v="2"/>
    <x v="1"/>
    <n v="0.2"/>
    <x v="10"/>
    <x v="42"/>
    <x v="2"/>
    <x v="1"/>
    <x v="0"/>
  </r>
  <r>
    <x v="133"/>
    <x v="127"/>
    <x v="133"/>
    <x v="10"/>
    <n v="4"/>
    <x v="133"/>
    <s v=""/>
    <x v="1"/>
    <x v="1"/>
    <x v="1"/>
    <n v="2.5"/>
    <x v="8"/>
    <x v="56"/>
    <x v="1"/>
    <x v="1"/>
    <x v="0"/>
  </r>
  <r>
    <x v="134"/>
    <x v="128"/>
    <x v="134"/>
    <x v="22"/>
    <n v="2"/>
    <x v="134"/>
    <s v="dstaite3z@scientificamerican.com"/>
    <x v="0"/>
    <x v="3"/>
    <x v="0"/>
    <n v="0.5"/>
    <x v="19"/>
    <x v="92"/>
    <x v="3"/>
    <x v="0"/>
    <x v="1"/>
  </r>
  <r>
    <x v="135"/>
    <x v="103"/>
    <x v="135"/>
    <x v="10"/>
    <n v="2"/>
    <x v="135"/>
    <s v="wkeyse40@apple.com"/>
    <x v="0"/>
    <x v="1"/>
    <x v="1"/>
    <n v="2.5"/>
    <x v="8"/>
    <x v="93"/>
    <x v="1"/>
    <x v="1"/>
    <x v="0"/>
  </r>
  <r>
    <x v="136"/>
    <x v="129"/>
    <x v="136"/>
    <x v="21"/>
    <n v="4"/>
    <x v="136"/>
    <s v="oclausenthue41@marriott.com"/>
    <x v="0"/>
    <x v="3"/>
    <x v="0"/>
    <n v="0.2"/>
    <x v="18"/>
    <x v="92"/>
    <x v="3"/>
    <x v="0"/>
    <x v="1"/>
  </r>
  <r>
    <x v="137"/>
    <x v="130"/>
    <x v="137"/>
    <x v="24"/>
    <n v="3"/>
    <x v="137"/>
    <s v="lfrancisco42@fema.gov"/>
    <x v="0"/>
    <x v="3"/>
    <x v="0"/>
    <n v="1"/>
    <x v="21"/>
    <x v="34"/>
    <x v="3"/>
    <x v="0"/>
    <x v="1"/>
  </r>
  <r>
    <x v="137"/>
    <x v="130"/>
    <x v="137"/>
    <x v="3"/>
    <n v="2"/>
    <x v="137"/>
    <s v="lfrancisco42@fema.gov"/>
    <x v="0"/>
    <x v="1"/>
    <x v="0"/>
    <n v="1"/>
    <x v="3"/>
    <x v="3"/>
    <x v="1"/>
    <x v="0"/>
    <x v="1"/>
  </r>
  <r>
    <x v="138"/>
    <x v="131"/>
    <x v="138"/>
    <x v="15"/>
    <n v="5"/>
    <x v="138"/>
    <s v="gskingle44@clickbank.net"/>
    <x v="0"/>
    <x v="1"/>
    <x v="2"/>
    <n v="0.2"/>
    <x v="13"/>
    <x v="94"/>
    <x v="1"/>
    <x v="2"/>
    <x v="0"/>
  </r>
  <r>
    <x v="139"/>
    <x v="132"/>
    <x v="139"/>
    <x v="37"/>
    <n v="2"/>
    <x v="139"/>
    <s v=""/>
    <x v="0"/>
    <x v="2"/>
    <x v="0"/>
    <n v="2.5"/>
    <x v="31"/>
    <x v="95"/>
    <x v="2"/>
    <x v="0"/>
    <x v="0"/>
  </r>
  <r>
    <x v="140"/>
    <x v="133"/>
    <x v="140"/>
    <x v="5"/>
    <n v="1"/>
    <x v="140"/>
    <s v="jbalsillie46@princeton.edu"/>
    <x v="0"/>
    <x v="3"/>
    <x v="2"/>
    <n v="1"/>
    <x v="2"/>
    <x v="2"/>
    <x v="3"/>
    <x v="2"/>
    <x v="0"/>
  </r>
  <r>
    <x v="141"/>
    <x v="134"/>
    <x v="141"/>
    <x v="17"/>
    <n v="3"/>
    <x v="141"/>
    <s v=""/>
    <x v="0"/>
    <x v="2"/>
    <x v="0"/>
    <n v="1"/>
    <x v="15"/>
    <x v="65"/>
    <x v="2"/>
    <x v="0"/>
    <x v="0"/>
  </r>
  <r>
    <x v="142"/>
    <x v="113"/>
    <x v="142"/>
    <x v="13"/>
    <n v="3"/>
    <x v="142"/>
    <s v="bleffek48@ning.com"/>
    <x v="0"/>
    <x v="0"/>
    <x v="0"/>
    <n v="2.5"/>
    <x v="11"/>
    <x v="96"/>
    <x v="0"/>
    <x v="0"/>
    <x v="0"/>
  </r>
  <r>
    <x v="143"/>
    <x v="135"/>
    <x v="143"/>
    <x v="25"/>
    <n v="1"/>
    <x v="143"/>
    <s v=""/>
    <x v="0"/>
    <x v="0"/>
    <x v="2"/>
    <n v="0.2"/>
    <x v="22"/>
    <x v="97"/>
    <x v="0"/>
    <x v="2"/>
    <x v="1"/>
  </r>
  <r>
    <x v="144"/>
    <x v="35"/>
    <x v="144"/>
    <x v="30"/>
    <n v="5"/>
    <x v="144"/>
    <s v="jpray4a@youtube.com"/>
    <x v="0"/>
    <x v="2"/>
    <x v="2"/>
    <n v="2.5"/>
    <x v="11"/>
    <x v="15"/>
    <x v="2"/>
    <x v="2"/>
    <x v="1"/>
  </r>
  <r>
    <x v="145"/>
    <x v="136"/>
    <x v="145"/>
    <x v="37"/>
    <n v="6"/>
    <x v="145"/>
    <s v="gholborn4b@ow.ly"/>
    <x v="0"/>
    <x v="2"/>
    <x v="0"/>
    <n v="2.5"/>
    <x v="31"/>
    <x v="71"/>
    <x v="2"/>
    <x v="0"/>
    <x v="0"/>
  </r>
  <r>
    <x v="146"/>
    <x v="137"/>
    <x v="146"/>
    <x v="37"/>
    <n v="3"/>
    <x v="146"/>
    <s v="fkeinrat4c@dailymail.co.uk"/>
    <x v="0"/>
    <x v="2"/>
    <x v="0"/>
    <n v="2.5"/>
    <x v="31"/>
    <x v="57"/>
    <x v="2"/>
    <x v="0"/>
    <x v="0"/>
  </r>
  <r>
    <x v="147"/>
    <x v="138"/>
    <x v="147"/>
    <x v="11"/>
    <n v="3"/>
    <x v="147"/>
    <s v="pyea4d@aol.com"/>
    <x v="1"/>
    <x v="0"/>
    <x v="2"/>
    <n v="2.5"/>
    <x v="9"/>
    <x v="98"/>
    <x v="0"/>
    <x v="2"/>
    <x v="1"/>
  </r>
  <r>
    <x v="148"/>
    <x v="139"/>
    <x v="148"/>
    <x v="11"/>
    <n v="6"/>
    <x v="148"/>
    <s v=""/>
    <x v="0"/>
    <x v="0"/>
    <x v="2"/>
    <n v="2.5"/>
    <x v="9"/>
    <x v="99"/>
    <x v="0"/>
    <x v="2"/>
    <x v="0"/>
  </r>
  <r>
    <x v="149"/>
    <x v="140"/>
    <x v="149"/>
    <x v="26"/>
    <n v="6"/>
    <x v="149"/>
    <s v=""/>
    <x v="0"/>
    <x v="3"/>
    <x v="1"/>
    <n v="2.5"/>
    <x v="23"/>
    <x v="100"/>
    <x v="3"/>
    <x v="1"/>
    <x v="1"/>
  </r>
  <r>
    <x v="150"/>
    <x v="141"/>
    <x v="150"/>
    <x v="1"/>
    <n v="4"/>
    <x v="150"/>
    <s v="kswede4g@addthis.com"/>
    <x v="0"/>
    <x v="1"/>
    <x v="0"/>
    <n v="0.5"/>
    <x v="1"/>
    <x v="101"/>
    <x v="1"/>
    <x v="0"/>
    <x v="1"/>
  </r>
  <r>
    <x v="151"/>
    <x v="142"/>
    <x v="151"/>
    <x v="42"/>
    <n v="3"/>
    <x v="151"/>
    <s v="lrubrow4h@microsoft.com"/>
    <x v="0"/>
    <x v="2"/>
    <x v="1"/>
    <n v="0.5"/>
    <x v="26"/>
    <x v="102"/>
    <x v="2"/>
    <x v="1"/>
    <x v="1"/>
  </r>
  <r>
    <x v="152"/>
    <x v="143"/>
    <x v="152"/>
    <x v="6"/>
    <n v="3"/>
    <x v="152"/>
    <s v="dtift4i@netvibes.com"/>
    <x v="0"/>
    <x v="1"/>
    <x v="2"/>
    <n v="0.5"/>
    <x v="5"/>
    <x v="6"/>
    <x v="1"/>
    <x v="2"/>
    <x v="0"/>
  </r>
  <r>
    <x v="153"/>
    <x v="144"/>
    <x v="153"/>
    <x v="25"/>
    <n v="6"/>
    <x v="153"/>
    <s v="gschonfeld4j@oracle.com"/>
    <x v="0"/>
    <x v="0"/>
    <x v="2"/>
    <n v="0.2"/>
    <x v="22"/>
    <x v="103"/>
    <x v="0"/>
    <x v="2"/>
    <x v="1"/>
  </r>
  <r>
    <x v="154"/>
    <x v="145"/>
    <x v="154"/>
    <x v="6"/>
    <n v="4"/>
    <x v="154"/>
    <s v="cfeye4k@google.co.jp"/>
    <x v="1"/>
    <x v="1"/>
    <x v="2"/>
    <n v="0.5"/>
    <x v="5"/>
    <x v="104"/>
    <x v="1"/>
    <x v="2"/>
    <x v="1"/>
  </r>
  <r>
    <x v="155"/>
    <x v="146"/>
    <x v="155"/>
    <x v="39"/>
    <n v="6"/>
    <x v="155"/>
    <s v=""/>
    <x v="0"/>
    <x v="0"/>
    <x v="2"/>
    <n v="1"/>
    <x v="33"/>
    <x v="59"/>
    <x v="0"/>
    <x v="2"/>
    <x v="0"/>
  </r>
  <r>
    <x v="156"/>
    <x v="147"/>
    <x v="156"/>
    <x v="34"/>
    <n v="5"/>
    <x v="156"/>
    <s v=""/>
    <x v="0"/>
    <x v="0"/>
    <x v="2"/>
    <n v="0.5"/>
    <x v="29"/>
    <x v="51"/>
    <x v="0"/>
    <x v="2"/>
    <x v="0"/>
  </r>
  <r>
    <x v="157"/>
    <x v="148"/>
    <x v="157"/>
    <x v="1"/>
    <n v="5"/>
    <x v="157"/>
    <s v="tfero4n@comsenz.com"/>
    <x v="0"/>
    <x v="1"/>
    <x v="0"/>
    <n v="0.5"/>
    <x v="1"/>
    <x v="1"/>
    <x v="1"/>
    <x v="0"/>
    <x v="0"/>
  </r>
  <r>
    <x v="158"/>
    <x v="149"/>
    <x v="158"/>
    <x v="19"/>
    <n v="6"/>
    <x v="158"/>
    <s v=""/>
    <x v="1"/>
    <x v="2"/>
    <x v="0"/>
    <n v="0.5"/>
    <x v="17"/>
    <x v="61"/>
    <x v="2"/>
    <x v="0"/>
    <x v="1"/>
  </r>
  <r>
    <x v="159"/>
    <x v="150"/>
    <x v="159"/>
    <x v="39"/>
    <n v="2"/>
    <x v="159"/>
    <s v="fdauney4p@sphinn.com"/>
    <x v="1"/>
    <x v="0"/>
    <x v="2"/>
    <n v="1"/>
    <x v="33"/>
    <x v="105"/>
    <x v="0"/>
    <x v="2"/>
    <x v="1"/>
  </r>
  <r>
    <x v="160"/>
    <x v="151"/>
    <x v="160"/>
    <x v="10"/>
    <n v="2"/>
    <x v="160"/>
    <s v="searley4q@youku.com"/>
    <x v="2"/>
    <x v="1"/>
    <x v="1"/>
    <n v="2.5"/>
    <x v="8"/>
    <x v="93"/>
    <x v="1"/>
    <x v="1"/>
    <x v="1"/>
  </r>
  <r>
    <x v="161"/>
    <x v="13"/>
    <x v="161"/>
    <x v="28"/>
    <n v="2"/>
    <x v="161"/>
    <s v="mchamberlayne4r@bigcartel.com"/>
    <x v="0"/>
    <x v="1"/>
    <x v="0"/>
    <n v="2.5"/>
    <x v="25"/>
    <x v="40"/>
    <x v="1"/>
    <x v="0"/>
    <x v="0"/>
  </r>
  <r>
    <x v="162"/>
    <x v="79"/>
    <x v="162"/>
    <x v="6"/>
    <n v="3"/>
    <x v="162"/>
    <s v="bflaherty4s@moonfruit.com"/>
    <x v="1"/>
    <x v="1"/>
    <x v="2"/>
    <n v="0.5"/>
    <x v="5"/>
    <x v="6"/>
    <x v="1"/>
    <x v="2"/>
    <x v="1"/>
  </r>
  <r>
    <x v="163"/>
    <x v="152"/>
    <x v="163"/>
    <x v="13"/>
    <n v="4"/>
    <x v="163"/>
    <s v="ocolbeck4t@sina.com.cn"/>
    <x v="0"/>
    <x v="0"/>
    <x v="0"/>
    <n v="2.5"/>
    <x v="11"/>
    <x v="21"/>
    <x v="0"/>
    <x v="0"/>
    <x v="1"/>
  </r>
  <r>
    <x v="164"/>
    <x v="153"/>
    <x v="164"/>
    <x v="10"/>
    <n v="6"/>
    <x v="164"/>
    <s v=""/>
    <x v="0"/>
    <x v="1"/>
    <x v="1"/>
    <n v="2.5"/>
    <x v="8"/>
    <x v="106"/>
    <x v="1"/>
    <x v="1"/>
    <x v="0"/>
  </r>
  <r>
    <x v="165"/>
    <x v="154"/>
    <x v="165"/>
    <x v="28"/>
    <n v="2"/>
    <x v="165"/>
    <s v="ehobbing4v@nsw.gov.au"/>
    <x v="0"/>
    <x v="1"/>
    <x v="0"/>
    <n v="2.5"/>
    <x v="25"/>
    <x v="40"/>
    <x v="1"/>
    <x v="0"/>
    <x v="0"/>
  </r>
  <r>
    <x v="166"/>
    <x v="155"/>
    <x v="166"/>
    <x v="10"/>
    <n v="1"/>
    <x v="166"/>
    <s v="othynne4w@auda.org.au"/>
    <x v="0"/>
    <x v="1"/>
    <x v="1"/>
    <n v="2.5"/>
    <x v="8"/>
    <x v="107"/>
    <x v="1"/>
    <x v="1"/>
    <x v="0"/>
  </r>
  <r>
    <x v="167"/>
    <x v="156"/>
    <x v="167"/>
    <x v="4"/>
    <n v="4"/>
    <x v="167"/>
    <s v="eheining4x@flickr.com"/>
    <x v="0"/>
    <x v="0"/>
    <x v="1"/>
    <n v="2.5"/>
    <x v="4"/>
    <x v="108"/>
    <x v="0"/>
    <x v="1"/>
    <x v="0"/>
  </r>
  <r>
    <x v="168"/>
    <x v="22"/>
    <x v="168"/>
    <x v="2"/>
    <n v="2"/>
    <x v="168"/>
    <s v="kmelloi4y@imdb.com"/>
    <x v="0"/>
    <x v="2"/>
    <x v="1"/>
    <n v="1"/>
    <x v="2"/>
    <x v="109"/>
    <x v="2"/>
    <x v="1"/>
    <x v="1"/>
  </r>
  <r>
    <x v="169"/>
    <x v="157"/>
    <x v="169"/>
    <x v="16"/>
    <n v="1"/>
    <x v="169"/>
    <s v=""/>
    <x v="1"/>
    <x v="2"/>
    <x v="2"/>
    <n v="0.2"/>
    <x v="14"/>
    <x v="55"/>
    <x v="2"/>
    <x v="2"/>
    <x v="1"/>
  </r>
  <r>
    <x v="170"/>
    <x v="158"/>
    <x v="170"/>
    <x v="46"/>
    <n v="5"/>
    <x v="170"/>
    <s v="amussen50@51.la"/>
    <x v="0"/>
    <x v="1"/>
    <x v="1"/>
    <n v="0.2"/>
    <x v="38"/>
    <x v="110"/>
    <x v="1"/>
    <x v="1"/>
    <x v="1"/>
  </r>
  <r>
    <x v="170"/>
    <x v="158"/>
    <x v="170"/>
    <x v="20"/>
    <n v="5"/>
    <x v="170"/>
    <s v="amussen50@51.la"/>
    <x v="0"/>
    <x v="2"/>
    <x v="2"/>
    <n v="0.5"/>
    <x v="7"/>
    <x v="44"/>
    <x v="2"/>
    <x v="2"/>
    <x v="1"/>
  </r>
  <r>
    <x v="171"/>
    <x v="78"/>
    <x v="171"/>
    <x v="34"/>
    <n v="6"/>
    <x v="171"/>
    <s v="amundford52@nbcnews.com"/>
    <x v="0"/>
    <x v="0"/>
    <x v="2"/>
    <n v="0.5"/>
    <x v="29"/>
    <x v="111"/>
    <x v="0"/>
    <x v="2"/>
    <x v="1"/>
  </r>
  <r>
    <x v="172"/>
    <x v="159"/>
    <x v="172"/>
    <x v="18"/>
    <n v="2"/>
    <x v="172"/>
    <s v="twalas53@google.ca"/>
    <x v="0"/>
    <x v="1"/>
    <x v="0"/>
    <n v="0.2"/>
    <x v="16"/>
    <x v="112"/>
    <x v="1"/>
    <x v="0"/>
    <x v="1"/>
  </r>
  <r>
    <x v="173"/>
    <x v="160"/>
    <x v="173"/>
    <x v="42"/>
    <n v="4"/>
    <x v="173"/>
    <s v="iblazewicz54@thetimes.co.uk"/>
    <x v="0"/>
    <x v="2"/>
    <x v="1"/>
    <n v="0.5"/>
    <x v="26"/>
    <x v="113"/>
    <x v="2"/>
    <x v="1"/>
    <x v="1"/>
  </r>
  <r>
    <x v="174"/>
    <x v="161"/>
    <x v="174"/>
    <x v="6"/>
    <n v="5"/>
    <x v="174"/>
    <s v="arizzetti55@naver.com"/>
    <x v="0"/>
    <x v="1"/>
    <x v="2"/>
    <n v="0.5"/>
    <x v="5"/>
    <x v="114"/>
    <x v="1"/>
    <x v="2"/>
    <x v="0"/>
  </r>
  <r>
    <x v="175"/>
    <x v="162"/>
    <x v="175"/>
    <x v="13"/>
    <n v="3"/>
    <x v="175"/>
    <s v="mmeriet56@noaa.gov"/>
    <x v="0"/>
    <x v="0"/>
    <x v="0"/>
    <n v="2.5"/>
    <x v="11"/>
    <x v="96"/>
    <x v="0"/>
    <x v="0"/>
    <x v="1"/>
  </r>
  <r>
    <x v="176"/>
    <x v="70"/>
    <x v="176"/>
    <x v="22"/>
    <n v="5"/>
    <x v="176"/>
    <s v="lpratt57@netvibes.com"/>
    <x v="0"/>
    <x v="3"/>
    <x v="0"/>
    <n v="0.5"/>
    <x v="19"/>
    <x v="34"/>
    <x v="3"/>
    <x v="0"/>
    <x v="0"/>
  </r>
  <r>
    <x v="177"/>
    <x v="163"/>
    <x v="177"/>
    <x v="46"/>
    <n v="1"/>
    <x v="177"/>
    <s v="akitchingham58@com.com"/>
    <x v="0"/>
    <x v="1"/>
    <x v="1"/>
    <n v="0.2"/>
    <x v="38"/>
    <x v="115"/>
    <x v="1"/>
    <x v="1"/>
    <x v="0"/>
  </r>
  <r>
    <x v="178"/>
    <x v="153"/>
    <x v="178"/>
    <x v="24"/>
    <n v="3"/>
    <x v="178"/>
    <s v="bbartholin59@xinhuanet.com"/>
    <x v="0"/>
    <x v="3"/>
    <x v="0"/>
    <n v="1"/>
    <x v="21"/>
    <x v="34"/>
    <x v="3"/>
    <x v="0"/>
    <x v="0"/>
  </r>
  <r>
    <x v="179"/>
    <x v="164"/>
    <x v="179"/>
    <x v="43"/>
    <n v="1"/>
    <x v="179"/>
    <s v="mprinn5a@usa.gov"/>
    <x v="0"/>
    <x v="3"/>
    <x v="0"/>
    <n v="2.5"/>
    <x v="36"/>
    <x v="116"/>
    <x v="3"/>
    <x v="0"/>
    <x v="0"/>
  </r>
  <r>
    <x v="180"/>
    <x v="165"/>
    <x v="180"/>
    <x v="12"/>
    <n v="5"/>
    <x v="180"/>
    <s v="abaudino5b@netvibes.com"/>
    <x v="0"/>
    <x v="3"/>
    <x v="2"/>
    <n v="0.2"/>
    <x v="10"/>
    <x v="117"/>
    <x v="3"/>
    <x v="2"/>
    <x v="0"/>
  </r>
  <r>
    <x v="181"/>
    <x v="166"/>
    <x v="181"/>
    <x v="45"/>
    <n v="6"/>
    <x v="181"/>
    <s v="ppetrushanko5c@blinklist.com"/>
    <x v="1"/>
    <x v="1"/>
    <x v="2"/>
    <n v="1"/>
    <x v="37"/>
    <x v="118"/>
    <x v="1"/>
    <x v="2"/>
    <x v="0"/>
  </r>
  <r>
    <x v="182"/>
    <x v="167"/>
    <x v="182"/>
    <x v="33"/>
    <n v="3"/>
    <x v="182"/>
    <s v=""/>
    <x v="0"/>
    <x v="1"/>
    <x v="1"/>
    <n v="1"/>
    <x v="28"/>
    <x v="69"/>
    <x v="1"/>
    <x v="1"/>
    <x v="1"/>
  </r>
  <r>
    <x v="183"/>
    <x v="168"/>
    <x v="183"/>
    <x v="6"/>
    <n v="5"/>
    <x v="183"/>
    <s v="elaird5e@bing.com"/>
    <x v="0"/>
    <x v="1"/>
    <x v="2"/>
    <n v="0.5"/>
    <x v="5"/>
    <x v="114"/>
    <x v="1"/>
    <x v="2"/>
    <x v="1"/>
  </r>
  <r>
    <x v="184"/>
    <x v="169"/>
    <x v="184"/>
    <x v="2"/>
    <n v="3"/>
    <x v="184"/>
    <s v="mhowsden5f@infoseek.co.jp"/>
    <x v="0"/>
    <x v="2"/>
    <x v="1"/>
    <n v="1"/>
    <x v="2"/>
    <x v="5"/>
    <x v="2"/>
    <x v="1"/>
    <x v="1"/>
  </r>
  <r>
    <x v="185"/>
    <x v="170"/>
    <x v="185"/>
    <x v="38"/>
    <n v="6"/>
    <x v="185"/>
    <s v="ncuttler5g@parallels.com"/>
    <x v="0"/>
    <x v="1"/>
    <x v="1"/>
    <n v="0.5"/>
    <x v="32"/>
    <x v="119"/>
    <x v="1"/>
    <x v="1"/>
    <x v="1"/>
  </r>
  <r>
    <x v="185"/>
    <x v="170"/>
    <x v="185"/>
    <x v="27"/>
    <n v="2"/>
    <x v="185"/>
    <s v="ncuttler5g@parallels.com"/>
    <x v="0"/>
    <x v="3"/>
    <x v="2"/>
    <n v="2.5"/>
    <x v="24"/>
    <x v="120"/>
    <x v="3"/>
    <x v="2"/>
    <x v="1"/>
  </r>
  <r>
    <x v="185"/>
    <x v="170"/>
    <x v="185"/>
    <x v="27"/>
    <n v="3"/>
    <x v="185"/>
    <s v="ncuttler5g@parallels.com"/>
    <x v="0"/>
    <x v="3"/>
    <x v="2"/>
    <n v="2.5"/>
    <x v="24"/>
    <x v="49"/>
    <x v="3"/>
    <x v="2"/>
    <x v="1"/>
  </r>
  <r>
    <x v="185"/>
    <x v="170"/>
    <x v="185"/>
    <x v="23"/>
    <n v="4"/>
    <x v="185"/>
    <s v="ncuttler5g@parallels.com"/>
    <x v="0"/>
    <x v="3"/>
    <x v="1"/>
    <n v="0.5"/>
    <x v="20"/>
    <x v="82"/>
    <x v="3"/>
    <x v="1"/>
    <x v="1"/>
  </r>
  <r>
    <x v="185"/>
    <x v="170"/>
    <x v="185"/>
    <x v="3"/>
    <n v="3"/>
    <x v="185"/>
    <s v="ncuttler5g@parallels.com"/>
    <x v="0"/>
    <x v="1"/>
    <x v="0"/>
    <n v="1"/>
    <x v="3"/>
    <x v="1"/>
    <x v="1"/>
    <x v="0"/>
    <x v="1"/>
  </r>
  <r>
    <x v="186"/>
    <x v="171"/>
    <x v="186"/>
    <x v="23"/>
    <n v="6"/>
    <x v="186"/>
    <s v=""/>
    <x v="0"/>
    <x v="3"/>
    <x v="1"/>
    <n v="0.5"/>
    <x v="20"/>
    <x v="30"/>
    <x v="3"/>
    <x v="1"/>
    <x v="1"/>
  </r>
  <r>
    <x v="187"/>
    <x v="172"/>
    <x v="187"/>
    <x v="27"/>
    <n v="6"/>
    <x v="187"/>
    <s v="tfelip5m@typepad.com"/>
    <x v="0"/>
    <x v="3"/>
    <x v="2"/>
    <n v="2.5"/>
    <x v="24"/>
    <x v="39"/>
    <x v="3"/>
    <x v="2"/>
    <x v="0"/>
  </r>
  <r>
    <x v="188"/>
    <x v="173"/>
    <x v="188"/>
    <x v="7"/>
    <n v="1"/>
    <x v="188"/>
    <s v="vle5n@disqus.com"/>
    <x v="0"/>
    <x v="3"/>
    <x v="1"/>
    <n v="0.2"/>
    <x v="6"/>
    <x v="7"/>
    <x v="3"/>
    <x v="1"/>
    <x v="1"/>
  </r>
  <r>
    <x v="189"/>
    <x v="174"/>
    <x v="189"/>
    <x v="3"/>
    <n v="6"/>
    <x v="189"/>
    <s v=""/>
    <x v="0"/>
    <x v="1"/>
    <x v="0"/>
    <n v="1"/>
    <x v="3"/>
    <x v="121"/>
    <x v="1"/>
    <x v="0"/>
    <x v="1"/>
  </r>
  <r>
    <x v="190"/>
    <x v="175"/>
    <x v="190"/>
    <x v="25"/>
    <n v="3"/>
    <x v="190"/>
    <s v=""/>
    <x v="0"/>
    <x v="0"/>
    <x v="2"/>
    <n v="0.2"/>
    <x v="22"/>
    <x v="36"/>
    <x v="0"/>
    <x v="2"/>
    <x v="0"/>
  </r>
  <r>
    <x v="191"/>
    <x v="176"/>
    <x v="191"/>
    <x v="17"/>
    <n v="2"/>
    <x v="191"/>
    <s v="npoolman5q@howstuffworks.com"/>
    <x v="0"/>
    <x v="2"/>
    <x v="0"/>
    <n v="1"/>
    <x v="15"/>
    <x v="122"/>
    <x v="2"/>
    <x v="0"/>
    <x v="1"/>
  </r>
  <r>
    <x v="192"/>
    <x v="142"/>
    <x v="192"/>
    <x v="19"/>
    <n v="6"/>
    <x v="192"/>
    <s v="oduny5r@constantcontact.com"/>
    <x v="0"/>
    <x v="2"/>
    <x v="0"/>
    <n v="0.5"/>
    <x v="17"/>
    <x v="61"/>
    <x v="2"/>
    <x v="0"/>
    <x v="0"/>
  </r>
  <r>
    <x v="193"/>
    <x v="177"/>
    <x v="193"/>
    <x v="6"/>
    <n v="4"/>
    <x v="193"/>
    <s v="chalfhide5s@google.ru"/>
    <x v="1"/>
    <x v="1"/>
    <x v="2"/>
    <n v="0.5"/>
    <x v="5"/>
    <x v="104"/>
    <x v="1"/>
    <x v="2"/>
    <x v="0"/>
  </r>
  <r>
    <x v="194"/>
    <x v="178"/>
    <x v="194"/>
    <x v="19"/>
    <n v="1"/>
    <x v="194"/>
    <s v="fmalecky5t@list-manage.com"/>
    <x v="2"/>
    <x v="2"/>
    <x v="0"/>
    <n v="0.5"/>
    <x v="17"/>
    <x v="52"/>
    <x v="2"/>
    <x v="0"/>
    <x v="1"/>
  </r>
  <r>
    <x v="195"/>
    <x v="179"/>
    <x v="195"/>
    <x v="5"/>
    <n v="4"/>
    <x v="195"/>
    <s v="aattwater5u@wikia.com"/>
    <x v="0"/>
    <x v="3"/>
    <x v="2"/>
    <n v="1"/>
    <x v="2"/>
    <x v="67"/>
    <x v="3"/>
    <x v="2"/>
    <x v="0"/>
  </r>
  <r>
    <x v="196"/>
    <x v="180"/>
    <x v="196"/>
    <x v="38"/>
    <n v="6"/>
    <x v="196"/>
    <s v="mwhellans5v@mapquest.com"/>
    <x v="0"/>
    <x v="1"/>
    <x v="1"/>
    <n v="0.5"/>
    <x v="32"/>
    <x v="119"/>
    <x v="1"/>
    <x v="1"/>
    <x v="1"/>
  </r>
  <r>
    <x v="197"/>
    <x v="181"/>
    <x v="197"/>
    <x v="15"/>
    <n v="4"/>
    <x v="197"/>
    <s v="dcamilletti5w@businesswire.com"/>
    <x v="0"/>
    <x v="1"/>
    <x v="2"/>
    <n v="0.2"/>
    <x v="13"/>
    <x v="20"/>
    <x v="1"/>
    <x v="2"/>
    <x v="0"/>
  </r>
  <r>
    <x v="198"/>
    <x v="182"/>
    <x v="198"/>
    <x v="11"/>
    <n v="1"/>
    <x v="198"/>
    <s v="egalgey5x@wufoo.com"/>
    <x v="0"/>
    <x v="0"/>
    <x v="2"/>
    <n v="2.5"/>
    <x v="9"/>
    <x v="123"/>
    <x v="0"/>
    <x v="2"/>
    <x v="1"/>
  </r>
  <r>
    <x v="199"/>
    <x v="183"/>
    <x v="199"/>
    <x v="32"/>
    <n v="2"/>
    <x v="199"/>
    <s v="mhame5y@newsvine.com"/>
    <x v="1"/>
    <x v="3"/>
    <x v="1"/>
    <n v="1"/>
    <x v="27"/>
    <x v="124"/>
    <x v="3"/>
    <x v="1"/>
    <x v="1"/>
  </r>
  <r>
    <x v="200"/>
    <x v="184"/>
    <x v="200"/>
    <x v="12"/>
    <n v="6"/>
    <x v="200"/>
    <s v="igurnee5z@usnews.com"/>
    <x v="0"/>
    <x v="3"/>
    <x v="2"/>
    <n v="0.2"/>
    <x v="10"/>
    <x v="102"/>
    <x v="3"/>
    <x v="2"/>
    <x v="1"/>
  </r>
  <r>
    <x v="201"/>
    <x v="185"/>
    <x v="201"/>
    <x v="24"/>
    <n v="4"/>
    <x v="201"/>
    <s v="asnowding60@comsenz.com"/>
    <x v="0"/>
    <x v="3"/>
    <x v="0"/>
    <n v="1"/>
    <x v="21"/>
    <x v="125"/>
    <x v="3"/>
    <x v="0"/>
    <x v="0"/>
  </r>
  <r>
    <x v="202"/>
    <x v="186"/>
    <x v="202"/>
    <x v="38"/>
    <n v="4"/>
    <x v="202"/>
    <s v="gpoinsett61@berkeley.edu"/>
    <x v="0"/>
    <x v="1"/>
    <x v="1"/>
    <n v="0.5"/>
    <x v="32"/>
    <x v="70"/>
    <x v="1"/>
    <x v="1"/>
    <x v="1"/>
  </r>
  <r>
    <x v="203"/>
    <x v="187"/>
    <x v="203"/>
    <x v="17"/>
    <n v="5"/>
    <x v="203"/>
    <s v="rfurman62@t.co"/>
    <x v="1"/>
    <x v="2"/>
    <x v="0"/>
    <n v="1"/>
    <x v="15"/>
    <x v="126"/>
    <x v="2"/>
    <x v="0"/>
    <x v="0"/>
  </r>
  <r>
    <x v="204"/>
    <x v="148"/>
    <x v="204"/>
    <x v="40"/>
    <n v="3"/>
    <x v="204"/>
    <s v="ccrosier63@xrea.com"/>
    <x v="0"/>
    <x v="0"/>
    <x v="1"/>
    <n v="0.2"/>
    <x v="34"/>
    <x v="127"/>
    <x v="0"/>
    <x v="1"/>
    <x v="1"/>
  </r>
  <r>
    <x v="204"/>
    <x v="148"/>
    <x v="204"/>
    <x v="36"/>
    <n v="5"/>
    <x v="204"/>
    <s v="ccrosier63@xrea.com"/>
    <x v="0"/>
    <x v="0"/>
    <x v="0"/>
    <n v="0.2"/>
    <x v="14"/>
    <x v="128"/>
    <x v="0"/>
    <x v="0"/>
    <x v="1"/>
  </r>
  <r>
    <x v="205"/>
    <x v="188"/>
    <x v="205"/>
    <x v="2"/>
    <n v="6"/>
    <x v="205"/>
    <s v="lrushmer65@europa.eu"/>
    <x v="0"/>
    <x v="2"/>
    <x v="1"/>
    <n v="1"/>
    <x v="2"/>
    <x v="17"/>
    <x v="2"/>
    <x v="1"/>
    <x v="0"/>
  </r>
  <r>
    <x v="206"/>
    <x v="189"/>
    <x v="206"/>
    <x v="31"/>
    <n v="3"/>
    <x v="206"/>
    <s v="wedinborough66@github.io"/>
    <x v="0"/>
    <x v="3"/>
    <x v="2"/>
    <n v="0.5"/>
    <x v="26"/>
    <x v="102"/>
    <x v="3"/>
    <x v="2"/>
    <x v="1"/>
  </r>
  <r>
    <x v="207"/>
    <x v="190"/>
    <x v="207"/>
    <x v="33"/>
    <n v="4"/>
    <x v="207"/>
    <s v=""/>
    <x v="0"/>
    <x v="1"/>
    <x v="1"/>
    <n v="1"/>
    <x v="28"/>
    <x v="48"/>
    <x v="1"/>
    <x v="1"/>
    <x v="0"/>
  </r>
  <r>
    <x v="208"/>
    <x v="191"/>
    <x v="208"/>
    <x v="27"/>
    <n v="4"/>
    <x v="208"/>
    <s v="kbromehead68@un.org"/>
    <x v="0"/>
    <x v="3"/>
    <x v="2"/>
    <n v="2.5"/>
    <x v="24"/>
    <x v="129"/>
    <x v="3"/>
    <x v="2"/>
    <x v="0"/>
  </r>
  <r>
    <x v="209"/>
    <x v="192"/>
    <x v="209"/>
    <x v="40"/>
    <n v="4"/>
    <x v="209"/>
    <s v="ewesterman69@si.edu"/>
    <x v="1"/>
    <x v="0"/>
    <x v="1"/>
    <n v="0.2"/>
    <x v="34"/>
    <x v="79"/>
    <x v="0"/>
    <x v="1"/>
    <x v="1"/>
  </r>
  <r>
    <x v="210"/>
    <x v="193"/>
    <x v="210"/>
    <x v="37"/>
    <n v="5"/>
    <x v="210"/>
    <s v="ahutchens6a@amazonaws.com"/>
    <x v="0"/>
    <x v="2"/>
    <x v="0"/>
    <n v="2.5"/>
    <x v="31"/>
    <x v="130"/>
    <x v="2"/>
    <x v="0"/>
    <x v="1"/>
  </r>
  <r>
    <x v="211"/>
    <x v="194"/>
    <x v="211"/>
    <x v="25"/>
    <n v="6"/>
    <x v="211"/>
    <s v="nwyvill6b@naver.com"/>
    <x v="2"/>
    <x v="0"/>
    <x v="2"/>
    <n v="0.2"/>
    <x v="22"/>
    <x v="103"/>
    <x v="0"/>
    <x v="2"/>
    <x v="0"/>
  </r>
  <r>
    <x v="212"/>
    <x v="195"/>
    <x v="212"/>
    <x v="40"/>
    <n v="5"/>
    <x v="212"/>
    <s v="bmathon6c@barnesandnoble.com"/>
    <x v="0"/>
    <x v="0"/>
    <x v="1"/>
    <n v="0.2"/>
    <x v="34"/>
    <x v="131"/>
    <x v="0"/>
    <x v="1"/>
    <x v="1"/>
  </r>
  <r>
    <x v="213"/>
    <x v="196"/>
    <x v="213"/>
    <x v="21"/>
    <n v="2"/>
    <x v="213"/>
    <s v="kstreight6d@about.com"/>
    <x v="0"/>
    <x v="3"/>
    <x v="0"/>
    <n v="0.2"/>
    <x v="18"/>
    <x v="31"/>
    <x v="3"/>
    <x v="0"/>
    <x v="1"/>
  </r>
  <r>
    <x v="214"/>
    <x v="197"/>
    <x v="214"/>
    <x v="37"/>
    <n v="2"/>
    <x v="214"/>
    <s v="pcutchie6e@globo.com"/>
    <x v="0"/>
    <x v="2"/>
    <x v="0"/>
    <n v="2.5"/>
    <x v="31"/>
    <x v="95"/>
    <x v="2"/>
    <x v="0"/>
    <x v="1"/>
  </r>
  <r>
    <x v="215"/>
    <x v="198"/>
    <x v="215"/>
    <x v="21"/>
    <n v="2"/>
    <x v="215"/>
    <s v=""/>
    <x v="0"/>
    <x v="3"/>
    <x v="0"/>
    <n v="0.2"/>
    <x v="18"/>
    <x v="31"/>
    <x v="3"/>
    <x v="0"/>
    <x v="0"/>
  </r>
  <r>
    <x v="216"/>
    <x v="199"/>
    <x v="216"/>
    <x v="7"/>
    <n v="5"/>
    <x v="216"/>
    <s v="cgheraldi6g@opera.com"/>
    <x v="2"/>
    <x v="3"/>
    <x v="1"/>
    <n v="0.2"/>
    <x v="6"/>
    <x v="29"/>
    <x v="3"/>
    <x v="1"/>
    <x v="1"/>
  </r>
  <r>
    <x v="217"/>
    <x v="200"/>
    <x v="217"/>
    <x v="18"/>
    <n v="5"/>
    <x v="217"/>
    <s v="bkenwell6h@over-blog.com"/>
    <x v="0"/>
    <x v="1"/>
    <x v="0"/>
    <n v="0.2"/>
    <x v="16"/>
    <x v="132"/>
    <x v="1"/>
    <x v="0"/>
    <x v="1"/>
  </r>
  <r>
    <x v="218"/>
    <x v="201"/>
    <x v="218"/>
    <x v="26"/>
    <n v="1"/>
    <x v="218"/>
    <s v="tsutty6i@google.es"/>
    <x v="0"/>
    <x v="3"/>
    <x v="1"/>
    <n v="2.5"/>
    <x v="23"/>
    <x v="133"/>
    <x v="3"/>
    <x v="1"/>
    <x v="1"/>
  </r>
  <r>
    <x v="219"/>
    <x v="202"/>
    <x v="219"/>
    <x v="26"/>
    <n v="5"/>
    <x v="219"/>
    <s v=""/>
    <x v="1"/>
    <x v="3"/>
    <x v="1"/>
    <n v="2.5"/>
    <x v="23"/>
    <x v="134"/>
    <x v="3"/>
    <x v="1"/>
    <x v="1"/>
  </r>
  <r>
    <x v="220"/>
    <x v="203"/>
    <x v="220"/>
    <x v="27"/>
    <n v="3"/>
    <x v="220"/>
    <s v="charce6k@cafepress.com"/>
    <x v="1"/>
    <x v="3"/>
    <x v="2"/>
    <n v="2.5"/>
    <x v="24"/>
    <x v="49"/>
    <x v="3"/>
    <x v="2"/>
    <x v="1"/>
  </r>
  <r>
    <x v="221"/>
    <x v="204"/>
    <x v="221"/>
    <x v="40"/>
    <n v="1"/>
    <x v="221"/>
    <s v=""/>
    <x v="0"/>
    <x v="0"/>
    <x v="1"/>
    <n v="0.2"/>
    <x v="34"/>
    <x v="60"/>
    <x v="0"/>
    <x v="1"/>
    <x v="0"/>
  </r>
  <r>
    <x v="222"/>
    <x v="205"/>
    <x v="222"/>
    <x v="13"/>
    <n v="2"/>
    <x v="222"/>
    <s v="fdrysdale6m@symantec.com"/>
    <x v="0"/>
    <x v="0"/>
    <x v="0"/>
    <n v="2.5"/>
    <x v="11"/>
    <x v="135"/>
    <x v="0"/>
    <x v="0"/>
    <x v="0"/>
  </r>
  <r>
    <x v="223"/>
    <x v="206"/>
    <x v="223"/>
    <x v="33"/>
    <n v="4"/>
    <x v="223"/>
    <s v="dmagowan6n@fc2.com"/>
    <x v="0"/>
    <x v="1"/>
    <x v="1"/>
    <n v="1"/>
    <x v="28"/>
    <x v="48"/>
    <x v="1"/>
    <x v="1"/>
    <x v="1"/>
  </r>
  <r>
    <x v="224"/>
    <x v="207"/>
    <x v="224"/>
    <x v="37"/>
    <n v="6"/>
    <x v="224"/>
    <s v=""/>
    <x v="0"/>
    <x v="2"/>
    <x v="0"/>
    <n v="2.5"/>
    <x v="31"/>
    <x v="71"/>
    <x v="2"/>
    <x v="0"/>
    <x v="0"/>
  </r>
  <r>
    <x v="225"/>
    <x v="208"/>
    <x v="225"/>
    <x v="13"/>
    <n v="2"/>
    <x v="225"/>
    <s v=""/>
    <x v="0"/>
    <x v="0"/>
    <x v="0"/>
    <n v="2.5"/>
    <x v="11"/>
    <x v="135"/>
    <x v="0"/>
    <x v="0"/>
    <x v="1"/>
  </r>
  <r>
    <x v="226"/>
    <x v="209"/>
    <x v="226"/>
    <x v="45"/>
    <n v="3"/>
    <x v="226"/>
    <s v="srushbrooke6q@youku.com"/>
    <x v="0"/>
    <x v="1"/>
    <x v="2"/>
    <n v="1"/>
    <x v="37"/>
    <x v="114"/>
    <x v="1"/>
    <x v="2"/>
    <x v="0"/>
  </r>
  <r>
    <x v="227"/>
    <x v="210"/>
    <x v="227"/>
    <x v="6"/>
    <n v="4"/>
    <x v="227"/>
    <s v="tdrynan6r@deviantart.com"/>
    <x v="0"/>
    <x v="1"/>
    <x v="2"/>
    <n v="0.5"/>
    <x v="5"/>
    <x v="104"/>
    <x v="1"/>
    <x v="2"/>
    <x v="0"/>
  </r>
  <r>
    <x v="228"/>
    <x v="211"/>
    <x v="228"/>
    <x v="43"/>
    <n v="4"/>
    <x v="228"/>
    <s v="eyurkov6s@hud.gov"/>
    <x v="0"/>
    <x v="3"/>
    <x v="0"/>
    <n v="2.5"/>
    <x v="36"/>
    <x v="136"/>
    <x v="3"/>
    <x v="0"/>
    <x v="1"/>
  </r>
  <r>
    <x v="229"/>
    <x v="212"/>
    <x v="229"/>
    <x v="7"/>
    <n v="5"/>
    <x v="229"/>
    <s v="lmallan6t@state.gov"/>
    <x v="0"/>
    <x v="3"/>
    <x v="1"/>
    <n v="0.2"/>
    <x v="6"/>
    <x v="29"/>
    <x v="3"/>
    <x v="1"/>
    <x v="0"/>
  </r>
  <r>
    <x v="230"/>
    <x v="213"/>
    <x v="230"/>
    <x v="5"/>
    <n v="3"/>
    <x v="230"/>
    <s v="gbentjens6u@netlog.com"/>
    <x v="2"/>
    <x v="3"/>
    <x v="2"/>
    <n v="1"/>
    <x v="2"/>
    <x v="5"/>
    <x v="3"/>
    <x v="2"/>
    <x v="1"/>
  </r>
  <r>
    <x v="231"/>
    <x v="63"/>
    <x v="231"/>
    <x v="40"/>
    <n v="6"/>
    <x v="231"/>
    <s v=""/>
    <x v="1"/>
    <x v="0"/>
    <x v="1"/>
    <n v="0.2"/>
    <x v="34"/>
    <x v="137"/>
    <x v="0"/>
    <x v="1"/>
    <x v="0"/>
  </r>
  <r>
    <x v="232"/>
    <x v="214"/>
    <x v="232"/>
    <x v="9"/>
    <n v="1"/>
    <x v="232"/>
    <s v="lentwistle6w@omniture.com"/>
    <x v="0"/>
    <x v="2"/>
    <x v="2"/>
    <n v="1"/>
    <x v="0"/>
    <x v="138"/>
    <x v="2"/>
    <x v="2"/>
    <x v="0"/>
  </r>
  <r>
    <x v="233"/>
    <x v="215"/>
    <x v="233"/>
    <x v="32"/>
    <n v="1"/>
    <x v="233"/>
    <s v="zkiffe74@cyberchimps.com"/>
    <x v="0"/>
    <x v="3"/>
    <x v="1"/>
    <n v="1"/>
    <x v="27"/>
    <x v="80"/>
    <x v="3"/>
    <x v="1"/>
    <x v="0"/>
  </r>
  <r>
    <x v="234"/>
    <x v="216"/>
    <x v="234"/>
    <x v="36"/>
    <n v="1"/>
    <x v="234"/>
    <s v="macott6y@pagesperso-orange.fr"/>
    <x v="0"/>
    <x v="0"/>
    <x v="0"/>
    <n v="0.2"/>
    <x v="14"/>
    <x v="55"/>
    <x v="0"/>
    <x v="0"/>
    <x v="0"/>
  </r>
  <r>
    <x v="235"/>
    <x v="217"/>
    <x v="235"/>
    <x v="3"/>
    <n v="5"/>
    <x v="235"/>
    <s v="cheaviside6z@rediff.com"/>
    <x v="0"/>
    <x v="1"/>
    <x v="0"/>
    <n v="1"/>
    <x v="3"/>
    <x v="85"/>
    <x v="1"/>
    <x v="0"/>
    <x v="0"/>
  </r>
  <r>
    <x v="236"/>
    <x v="218"/>
    <x v="236"/>
    <x v="9"/>
    <n v="3"/>
    <x v="236"/>
    <s v=""/>
    <x v="0"/>
    <x v="2"/>
    <x v="2"/>
    <n v="1"/>
    <x v="0"/>
    <x v="44"/>
    <x v="2"/>
    <x v="2"/>
    <x v="1"/>
  </r>
  <r>
    <x v="237"/>
    <x v="219"/>
    <x v="237"/>
    <x v="24"/>
    <n v="4"/>
    <x v="237"/>
    <s v="lkernan71@wsj.com"/>
    <x v="0"/>
    <x v="3"/>
    <x v="0"/>
    <n v="1"/>
    <x v="21"/>
    <x v="125"/>
    <x v="3"/>
    <x v="0"/>
    <x v="1"/>
  </r>
  <r>
    <x v="238"/>
    <x v="220"/>
    <x v="238"/>
    <x v="35"/>
    <n v="4"/>
    <x v="238"/>
    <s v="rmclae72@dailymotion.com"/>
    <x v="2"/>
    <x v="0"/>
    <x v="1"/>
    <n v="0.5"/>
    <x v="30"/>
    <x v="139"/>
    <x v="0"/>
    <x v="1"/>
    <x v="1"/>
  </r>
  <r>
    <x v="239"/>
    <x v="114"/>
    <x v="239"/>
    <x v="35"/>
    <n v="3"/>
    <x v="239"/>
    <s v="cblowfelde73@ustream.tv"/>
    <x v="0"/>
    <x v="0"/>
    <x v="1"/>
    <n v="0.5"/>
    <x v="30"/>
    <x v="137"/>
    <x v="0"/>
    <x v="1"/>
    <x v="1"/>
  </r>
  <r>
    <x v="240"/>
    <x v="221"/>
    <x v="233"/>
    <x v="22"/>
    <n v="2"/>
    <x v="233"/>
    <s v="zkiffe74@cyberchimps.com"/>
    <x v="0"/>
    <x v="3"/>
    <x v="0"/>
    <n v="0.5"/>
    <x v="19"/>
    <x v="92"/>
    <x v="3"/>
    <x v="0"/>
    <x v="0"/>
  </r>
  <r>
    <x v="241"/>
    <x v="222"/>
    <x v="240"/>
    <x v="47"/>
    <n v="1"/>
    <x v="240"/>
    <s v="docalleran75@ucla.edu"/>
    <x v="0"/>
    <x v="1"/>
    <x v="2"/>
    <n v="2.5"/>
    <x v="39"/>
    <x v="140"/>
    <x v="1"/>
    <x v="2"/>
    <x v="0"/>
  </r>
  <r>
    <x v="242"/>
    <x v="188"/>
    <x v="241"/>
    <x v="47"/>
    <n v="5"/>
    <x v="241"/>
    <s v="ccromwell76@desdev.cn"/>
    <x v="0"/>
    <x v="1"/>
    <x v="2"/>
    <n v="2.5"/>
    <x v="39"/>
    <x v="141"/>
    <x v="1"/>
    <x v="2"/>
    <x v="1"/>
  </r>
  <r>
    <x v="243"/>
    <x v="223"/>
    <x v="242"/>
    <x v="36"/>
    <n v="2"/>
    <x v="242"/>
    <s v="ihay77@lulu.com"/>
    <x v="2"/>
    <x v="0"/>
    <x v="0"/>
    <n v="0.2"/>
    <x v="14"/>
    <x v="9"/>
    <x v="0"/>
    <x v="0"/>
    <x v="1"/>
  </r>
  <r>
    <x v="244"/>
    <x v="224"/>
    <x v="243"/>
    <x v="4"/>
    <n v="1"/>
    <x v="243"/>
    <s v="ttaffarello78@sciencedaily.com"/>
    <x v="0"/>
    <x v="0"/>
    <x v="1"/>
    <n v="2.5"/>
    <x v="4"/>
    <x v="142"/>
    <x v="0"/>
    <x v="1"/>
    <x v="0"/>
  </r>
  <r>
    <x v="245"/>
    <x v="83"/>
    <x v="244"/>
    <x v="41"/>
    <n v="5"/>
    <x v="244"/>
    <s v="mcanty79@jigsy.com"/>
    <x v="0"/>
    <x v="0"/>
    <x v="1"/>
    <n v="1"/>
    <x v="35"/>
    <x v="143"/>
    <x v="0"/>
    <x v="1"/>
    <x v="0"/>
  </r>
  <r>
    <x v="246"/>
    <x v="104"/>
    <x v="245"/>
    <x v="3"/>
    <n v="3"/>
    <x v="245"/>
    <s v="jkopke7a@auda.org.au"/>
    <x v="0"/>
    <x v="1"/>
    <x v="0"/>
    <n v="1"/>
    <x v="3"/>
    <x v="1"/>
    <x v="1"/>
    <x v="0"/>
    <x v="1"/>
  </r>
  <r>
    <x v="247"/>
    <x v="225"/>
    <x v="246"/>
    <x v="43"/>
    <n v="4"/>
    <x v="246"/>
    <s v=""/>
    <x v="0"/>
    <x v="3"/>
    <x v="0"/>
    <n v="2.5"/>
    <x v="36"/>
    <x v="136"/>
    <x v="3"/>
    <x v="0"/>
    <x v="1"/>
  </r>
  <r>
    <x v="248"/>
    <x v="226"/>
    <x v="247"/>
    <x v="41"/>
    <n v="5"/>
    <x v="247"/>
    <s v=""/>
    <x v="1"/>
    <x v="0"/>
    <x v="1"/>
    <n v="1"/>
    <x v="35"/>
    <x v="143"/>
    <x v="0"/>
    <x v="1"/>
    <x v="0"/>
  </r>
  <r>
    <x v="249"/>
    <x v="227"/>
    <x v="248"/>
    <x v="20"/>
    <n v="1"/>
    <x v="248"/>
    <s v="vhellmore7d@bbc.co.uk"/>
    <x v="0"/>
    <x v="2"/>
    <x v="2"/>
    <n v="0.5"/>
    <x v="7"/>
    <x v="9"/>
    <x v="2"/>
    <x v="2"/>
    <x v="0"/>
  </r>
  <r>
    <x v="250"/>
    <x v="180"/>
    <x v="249"/>
    <x v="45"/>
    <n v="2"/>
    <x v="249"/>
    <s v="mseawright7e@nbcnews.com"/>
    <x v="2"/>
    <x v="1"/>
    <x v="2"/>
    <n v="1"/>
    <x v="37"/>
    <x v="76"/>
    <x v="1"/>
    <x v="2"/>
    <x v="1"/>
  </r>
  <r>
    <x v="251"/>
    <x v="228"/>
    <x v="250"/>
    <x v="15"/>
    <n v="6"/>
    <x v="250"/>
    <s v="snortheast7f@mashable.com"/>
    <x v="0"/>
    <x v="1"/>
    <x v="2"/>
    <n v="0.2"/>
    <x v="13"/>
    <x v="6"/>
    <x v="1"/>
    <x v="2"/>
    <x v="0"/>
  </r>
  <r>
    <x v="252"/>
    <x v="229"/>
    <x v="195"/>
    <x v="9"/>
    <n v="2"/>
    <x v="195"/>
    <s v="aattwater5u@wikia.com"/>
    <x v="0"/>
    <x v="2"/>
    <x v="2"/>
    <n v="1"/>
    <x v="0"/>
    <x v="0"/>
    <x v="2"/>
    <x v="2"/>
    <x v="0"/>
  </r>
  <r>
    <x v="253"/>
    <x v="230"/>
    <x v="251"/>
    <x v="16"/>
    <n v="2"/>
    <x v="251"/>
    <s v="mfearon7h@reverbnation.com"/>
    <x v="0"/>
    <x v="2"/>
    <x v="2"/>
    <n v="0.2"/>
    <x v="14"/>
    <x v="9"/>
    <x v="2"/>
    <x v="2"/>
    <x v="1"/>
  </r>
  <r>
    <x v="254"/>
    <x v="231"/>
    <x v="252"/>
    <x v="6"/>
    <n v="1"/>
    <x v="252"/>
    <s v=""/>
    <x v="1"/>
    <x v="1"/>
    <x v="2"/>
    <n v="0.5"/>
    <x v="5"/>
    <x v="35"/>
    <x v="1"/>
    <x v="2"/>
    <x v="0"/>
  </r>
  <r>
    <x v="255"/>
    <x v="80"/>
    <x v="253"/>
    <x v="16"/>
    <n v="4"/>
    <x v="253"/>
    <s v="jsisneros7j@a8.net"/>
    <x v="0"/>
    <x v="2"/>
    <x v="2"/>
    <n v="0.2"/>
    <x v="14"/>
    <x v="22"/>
    <x v="2"/>
    <x v="2"/>
    <x v="0"/>
  </r>
  <r>
    <x v="256"/>
    <x v="232"/>
    <x v="254"/>
    <x v="41"/>
    <n v="6"/>
    <x v="254"/>
    <s v="zcarlson7k@bigcartel.com"/>
    <x v="1"/>
    <x v="0"/>
    <x v="1"/>
    <n v="1"/>
    <x v="35"/>
    <x v="144"/>
    <x v="0"/>
    <x v="1"/>
    <x v="0"/>
  </r>
  <r>
    <x v="257"/>
    <x v="233"/>
    <x v="255"/>
    <x v="29"/>
    <n v="2"/>
    <x v="255"/>
    <s v="wmaddox7l@timesonline.co.uk"/>
    <x v="0"/>
    <x v="2"/>
    <x v="1"/>
    <n v="0.2"/>
    <x v="10"/>
    <x v="41"/>
    <x v="2"/>
    <x v="1"/>
    <x v="1"/>
  </r>
  <r>
    <x v="258"/>
    <x v="234"/>
    <x v="256"/>
    <x v="37"/>
    <n v="1"/>
    <x v="256"/>
    <s v="dhedlestone7m@craigslist.org"/>
    <x v="0"/>
    <x v="2"/>
    <x v="0"/>
    <n v="2.5"/>
    <x v="31"/>
    <x v="145"/>
    <x v="2"/>
    <x v="0"/>
    <x v="1"/>
  </r>
  <r>
    <x v="259"/>
    <x v="235"/>
    <x v="257"/>
    <x v="10"/>
    <n v="6"/>
    <x v="257"/>
    <s v="tcrowthe7n@europa.eu"/>
    <x v="0"/>
    <x v="1"/>
    <x v="1"/>
    <n v="2.5"/>
    <x v="8"/>
    <x v="106"/>
    <x v="1"/>
    <x v="1"/>
    <x v="1"/>
  </r>
  <r>
    <x v="260"/>
    <x v="236"/>
    <x v="258"/>
    <x v="4"/>
    <n v="4"/>
    <x v="258"/>
    <s v="dbury7o@tinyurl.com"/>
    <x v="1"/>
    <x v="0"/>
    <x v="1"/>
    <n v="2.5"/>
    <x v="4"/>
    <x v="108"/>
    <x v="0"/>
    <x v="1"/>
    <x v="0"/>
  </r>
  <r>
    <x v="261"/>
    <x v="237"/>
    <x v="259"/>
    <x v="33"/>
    <n v="6"/>
    <x v="259"/>
    <s v="gbroadbear7p@omniture.com"/>
    <x v="0"/>
    <x v="1"/>
    <x v="1"/>
    <n v="1"/>
    <x v="28"/>
    <x v="146"/>
    <x v="1"/>
    <x v="1"/>
    <x v="1"/>
  </r>
  <r>
    <x v="262"/>
    <x v="238"/>
    <x v="260"/>
    <x v="29"/>
    <n v="2"/>
    <x v="260"/>
    <s v="epalfrey7q@devhub.com"/>
    <x v="0"/>
    <x v="2"/>
    <x v="1"/>
    <n v="0.2"/>
    <x v="10"/>
    <x v="41"/>
    <x v="2"/>
    <x v="1"/>
    <x v="0"/>
  </r>
  <r>
    <x v="263"/>
    <x v="52"/>
    <x v="261"/>
    <x v="43"/>
    <n v="1"/>
    <x v="261"/>
    <s v="pmetrick7r@rakuten.co.jp"/>
    <x v="0"/>
    <x v="3"/>
    <x v="0"/>
    <n v="2.5"/>
    <x v="36"/>
    <x v="116"/>
    <x v="3"/>
    <x v="0"/>
    <x v="0"/>
  </r>
  <r>
    <x v="264"/>
    <x v="146"/>
    <x v="262"/>
    <x v="1"/>
    <n v="5"/>
    <x v="262"/>
    <s v=""/>
    <x v="0"/>
    <x v="1"/>
    <x v="0"/>
    <n v="0.5"/>
    <x v="1"/>
    <x v="1"/>
    <x v="1"/>
    <x v="0"/>
    <x v="0"/>
  </r>
  <r>
    <x v="265"/>
    <x v="239"/>
    <x v="263"/>
    <x v="33"/>
    <n v="4"/>
    <x v="263"/>
    <s v="kkarby7t@sbwire.com"/>
    <x v="0"/>
    <x v="1"/>
    <x v="1"/>
    <n v="1"/>
    <x v="28"/>
    <x v="48"/>
    <x v="1"/>
    <x v="1"/>
    <x v="0"/>
  </r>
  <r>
    <x v="266"/>
    <x v="240"/>
    <x v="264"/>
    <x v="42"/>
    <n v="1"/>
    <x v="264"/>
    <s v="fcrumpe7u@ftc.gov"/>
    <x v="2"/>
    <x v="2"/>
    <x v="1"/>
    <n v="0.5"/>
    <x v="26"/>
    <x v="41"/>
    <x v="2"/>
    <x v="1"/>
    <x v="1"/>
  </r>
  <r>
    <x v="267"/>
    <x v="241"/>
    <x v="265"/>
    <x v="34"/>
    <n v="1"/>
    <x v="265"/>
    <s v="achatto7v@sakura.ne.jp"/>
    <x v="2"/>
    <x v="0"/>
    <x v="2"/>
    <n v="0.5"/>
    <x v="29"/>
    <x v="147"/>
    <x v="0"/>
    <x v="2"/>
    <x v="0"/>
  </r>
  <r>
    <x v="268"/>
    <x v="242"/>
    <x v="266"/>
    <x v="28"/>
    <n v="3"/>
    <x v="266"/>
    <s v=""/>
    <x v="0"/>
    <x v="1"/>
    <x v="0"/>
    <n v="2.5"/>
    <x v="25"/>
    <x v="88"/>
    <x v="1"/>
    <x v="0"/>
    <x v="1"/>
  </r>
  <r>
    <x v="269"/>
    <x v="243"/>
    <x v="267"/>
    <x v="26"/>
    <n v="1"/>
    <x v="267"/>
    <s v=""/>
    <x v="0"/>
    <x v="3"/>
    <x v="1"/>
    <n v="2.5"/>
    <x v="23"/>
    <x v="133"/>
    <x v="3"/>
    <x v="1"/>
    <x v="1"/>
  </r>
  <r>
    <x v="270"/>
    <x v="244"/>
    <x v="268"/>
    <x v="14"/>
    <n v="4"/>
    <x v="268"/>
    <s v="bmergue7y@umn.edu"/>
    <x v="0"/>
    <x v="2"/>
    <x v="0"/>
    <n v="0.2"/>
    <x v="12"/>
    <x v="72"/>
    <x v="2"/>
    <x v="0"/>
    <x v="0"/>
  </r>
  <r>
    <x v="271"/>
    <x v="245"/>
    <x v="269"/>
    <x v="40"/>
    <n v="4"/>
    <x v="269"/>
    <s v="kpatise7z@jigsy.com"/>
    <x v="0"/>
    <x v="0"/>
    <x v="1"/>
    <n v="0.2"/>
    <x v="34"/>
    <x v="79"/>
    <x v="0"/>
    <x v="1"/>
    <x v="1"/>
  </r>
  <r>
    <x v="272"/>
    <x v="246"/>
    <x v="270"/>
    <x v="1"/>
    <n v="1"/>
    <x v="270"/>
    <s v=""/>
    <x v="1"/>
    <x v="1"/>
    <x v="0"/>
    <n v="0.5"/>
    <x v="1"/>
    <x v="112"/>
    <x v="1"/>
    <x v="0"/>
    <x v="0"/>
  </r>
  <r>
    <x v="273"/>
    <x v="247"/>
    <x v="271"/>
    <x v="25"/>
    <n v="5"/>
    <x v="271"/>
    <s v=""/>
    <x v="0"/>
    <x v="0"/>
    <x v="2"/>
    <n v="0.2"/>
    <x v="22"/>
    <x v="148"/>
    <x v="0"/>
    <x v="2"/>
    <x v="0"/>
  </r>
  <r>
    <x v="274"/>
    <x v="248"/>
    <x v="272"/>
    <x v="9"/>
    <n v="5"/>
    <x v="272"/>
    <s v="dduke82@vkontakte.ru"/>
    <x v="0"/>
    <x v="2"/>
    <x v="2"/>
    <n v="1"/>
    <x v="0"/>
    <x v="12"/>
    <x v="2"/>
    <x v="2"/>
    <x v="1"/>
  </r>
  <r>
    <x v="275"/>
    <x v="249"/>
    <x v="273"/>
    <x v="1"/>
    <n v="2"/>
    <x v="273"/>
    <s v=""/>
    <x v="1"/>
    <x v="1"/>
    <x v="0"/>
    <n v="0.5"/>
    <x v="1"/>
    <x v="38"/>
    <x v="1"/>
    <x v="0"/>
    <x v="1"/>
  </r>
  <r>
    <x v="276"/>
    <x v="250"/>
    <x v="274"/>
    <x v="20"/>
    <n v="3"/>
    <x v="274"/>
    <s v="ihussey84@mapy.cz"/>
    <x v="0"/>
    <x v="2"/>
    <x v="2"/>
    <n v="0.5"/>
    <x v="7"/>
    <x v="8"/>
    <x v="2"/>
    <x v="2"/>
    <x v="1"/>
  </r>
  <r>
    <x v="277"/>
    <x v="251"/>
    <x v="275"/>
    <x v="20"/>
    <n v="5"/>
    <x v="275"/>
    <s v="cpinkerton85@upenn.edu"/>
    <x v="0"/>
    <x v="2"/>
    <x v="2"/>
    <n v="0.5"/>
    <x v="7"/>
    <x v="44"/>
    <x v="2"/>
    <x v="2"/>
    <x v="1"/>
  </r>
  <r>
    <x v="278"/>
    <x v="177"/>
    <x v="276"/>
    <x v="33"/>
    <n v="3"/>
    <x v="276"/>
    <s v=""/>
    <x v="0"/>
    <x v="1"/>
    <x v="1"/>
    <n v="1"/>
    <x v="28"/>
    <x v="69"/>
    <x v="1"/>
    <x v="1"/>
    <x v="1"/>
  </r>
  <r>
    <x v="279"/>
    <x v="252"/>
    <x v="277"/>
    <x v="3"/>
    <n v="2"/>
    <x v="277"/>
    <s v=""/>
    <x v="0"/>
    <x v="1"/>
    <x v="0"/>
    <n v="1"/>
    <x v="3"/>
    <x v="3"/>
    <x v="1"/>
    <x v="0"/>
    <x v="1"/>
  </r>
  <r>
    <x v="280"/>
    <x v="253"/>
    <x v="278"/>
    <x v="8"/>
    <n v="6"/>
    <x v="278"/>
    <s v="dvizor88@furl.net"/>
    <x v="0"/>
    <x v="0"/>
    <x v="0"/>
    <n v="0.5"/>
    <x v="7"/>
    <x v="27"/>
    <x v="0"/>
    <x v="0"/>
    <x v="0"/>
  </r>
  <r>
    <x v="281"/>
    <x v="254"/>
    <x v="279"/>
    <x v="34"/>
    <n v="3"/>
    <x v="279"/>
    <s v="esedgebeer89@oaic.gov.au"/>
    <x v="0"/>
    <x v="0"/>
    <x v="2"/>
    <n v="0.5"/>
    <x v="29"/>
    <x v="103"/>
    <x v="0"/>
    <x v="2"/>
    <x v="0"/>
  </r>
  <r>
    <x v="282"/>
    <x v="227"/>
    <x v="280"/>
    <x v="46"/>
    <n v="6"/>
    <x v="280"/>
    <s v="klestrange8a@lulu.com"/>
    <x v="0"/>
    <x v="1"/>
    <x v="1"/>
    <n v="0.2"/>
    <x v="38"/>
    <x v="149"/>
    <x v="1"/>
    <x v="1"/>
    <x v="0"/>
  </r>
  <r>
    <x v="283"/>
    <x v="110"/>
    <x v="281"/>
    <x v="10"/>
    <n v="6"/>
    <x v="281"/>
    <s v="ltanti8b@techcrunch.com"/>
    <x v="0"/>
    <x v="1"/>
    <x v="1"/>
    <n v="2.5"/>
    <x v="8"/>
    <x v="106"/>
    <x v="1"/>
    <x v="1"/>
    <x v="0"/>
  </r>
  <r>
    <x v="284"/>
    <x v="182"/>
    <x v="282"/>
    <x v="2"/>
    <n v="3"/>
    <x v="282"/>
    <s v="ade8c@1und1.de"/>
    <x v="0"/>
    <x v="2"/>
    <x v="1"/>
    <n v="1"/>
    <x v="2"/>
    <x v="5"/>
    <x v="2"/>
    <x v="1"/>
    <x v="0"/>
  </r>
  <r>
    <x v="285"/>
    <x v="255"/>
    <x v="283"/>
    <x v="12"/>
    <n v="4"/>
    <x v="283"/>
    <s v="tjedrachowicz8d@acquirethisname.com"/>
    <x v="0"/>
    <x v="3"/>
    <x v="2"/>
    <n v="0.2"/>
    <x v="10"/>
    <x v="42"/>
    <x v="3"/>
    <x v="2"/>
    <x v="0"/>
  </r>
  <r>
    <x v="286"/>
    <x v="256"/>
    <x v="284"/>
    <x v="19"/>
    <n v="1"/>
    <x v="284"/>
    <s v="pstonner8e@moonfruit.com"/>
    <x v="0"/>
    <x v="2"/>
    <x v="0"/>
    <n v="0.5"/>
    <x v="17"/>
    <x v="52"/>
    <x v="2"/>
    <x v="0"/>
    <x v="1"/>
  </r>
  <r>
    <x v="287"/>
    <x v="3"/>
    <x v="285"/>
    <x v="47"/>
    <n v="4"/>
    <x v="285"/>
    <s v="dtingly8f@goo.ne.jp"/>
    <x v="0"/>
    <x v="1"/>
    <x v="2"/>
    <n v="2.5"/>
    <x v="39"/>
    <x v="150"/>
    <x v="1"/>
    <x v="2"/>
    <x v="0"/>
  </r>
  <r>
    <x v="288"/>
    <x v="257"/>
    <x v="286"/>
    <x v="29"/>
    <n v="1"/>
    <x v="286"/>
    <s v="crushe8n@about.me"/>
    <x v="0"/>
    <x v="2"/>
    <x v="1"/>
    <n v="0.2"/>
    <x v="10"/>
    <x v="84"/>
    <x v="2"/>
    <x v="1"/>
    <x v="0"/>
  </r>
  <r>
    <x v="289"/>
    <x v="258"/>
    <x v="287"/>
    <x v="21"/>
    <n v="5"/>
    <x v="287"/>
    <s v="bchecci8h@usa.gov"/>
    <x v="2"/>
    <x v="3"/>
    <x v="0"/>
    <n v="0.2"/>
    <x v="18"/>
    <x v="26"/>
    <x v="3"/>
    <x v="0"/>
    <x v="1"/>
  </r>
  <r>
    <x v="290"/>
    <x v="259"/>
    <x v="288"/>
    <x v="36"/>
    <n v="5"/>
    <x v="288"/>
    <s v="jbagot8i@mac.com"/>
    <x v="0"/>
    <x v="0"/>
    <x v="0"/>
    <n v="0.2"/>
    <x v="14"/>
    <x v="128"/>
    <x v="0"/>
    <x v="0"/>
    <x v="1"/>
  </r>
  <r>
    <x v="291"/>
    <x v="260"/>
    <x v="289"/>
    <x v="17"/>
    <n v="3"/>
    <x v="289"/>
    <s v="ebeeble8j@soundcloud.com"/>
    <x v="0"/>
    <x v="2"/>
    <x v="0"/>
    <n v="1"/>
    <x v="15"/>
    <x v="65"/>
    <x v="2"/>
    <x v="0"/>
    <x v="0"/>
  </r>
  <r>
    <x v="292"/>
    <x v="261"/>
    <x v="290"/>
    <x v="17"/>
    <n v="3"/>
    <x v="290"/>
    <s v="cfluin8k@flickr.com"/>
    <x v="2"/>
    <x v="2"/>
    <x v="0"/>
    <n v="1"/>
    <x v="15"/>
    <x v="65"/>
    <x v="2"/>
    <x v="0"/>
    <x v="1"/>
  </r>
  <r>
    <x v="293"/>
    <x v="262"/>
    <x v="291"/>
    <x v="21"/>
    <n v="6"/>
    <x v="291"/>
    <s v="ebletsor8l@vinaora.com"/>
    <x v="0"/>
    <x v="3"/>
    <x v="0"/>
    <n v="0.2"/>
    <x v="18"/>
    <x v="50"/>
    <x v="3"/>
    <x v="0"/>
    <x v="0"/>
  </r>
  <r>
    <x v="294"/>
    <x v="263"/>
    <x v="292"/>
    <x v="33"/>
    <n v="1"/>
    <x v="292"/>
    <s v="pbrydell8m@bloglovin.com"/>
    <x v="1"/>
    <x v="1"/>
    <x v="1"/>
    <n v="1"/>
    <x v="28"/>
    <x v="151"/>
    <x v="1"/>
    <x v="1"/>
    <x v="1"/>
  </r>
  <r>
    <x v="295"/>
    <x v="212"/>
    <x v="286"/>
    <x v="28"/>
    <n v="6"/>
    <x v="286"/>
    <s v="crushe8n@about.me"/>
    <x v="0"/>
    <x v="1"/>
    <x v="0"/>
    <n v="2.5"/>
    <x v="25"/>
    <x v="152"/>
    <x v="1"/>
    <x v="0"/>
    <x v="0"/>
  </r>
  <r>
    <x v="296"/>
    <x v="187"/>
    <x v="293"/>
    <x v="8"/>
    <n v="1"/>
    <x v="293"/>
    <s v="nleethem8o@mac.com"/>
    <x v="0"/>
    <x v="0"/>
    <x v="0"/>
    <n v="0.5"/>
    <x v="7"/>
    <x v="9"/>
    <x v="0"/>
    <x v="0"/>
    <x v="0"/>
  </r>
  <r>
    <x v="297"/>
    <x v="248"/>
    <x v="294"/>
    <x v="0"/>
    <n v="3"/>
    <x v="294"/>
    <s v="anesfield8p@people.com.cn"/>
    <x v="2"/>
    <x v="0"/>
    <x v="0"/>
    <n v="1"/>
    <x v="0"/>
    <x v="44"/>
    <x v="0"/>
    <x v="0"/>
    <x v="0"/>
  </r>
  <r>
    <x v="298"/>
    <x v="264"/>
    <x v="295"/>
    <x v="39"/>
    <n v="5"/>
    <x v="295"/>
    <s v=""/>
    <x v="0"/>
    <x v="0"/>
    <x v="2"/>
    <n v="1"/>
    <x v="33"/>
    <x v="153"/>
    <x v="0"/>
    <x v="2"/>
    <x v="1"/>
  </r>
  <r>
    <x v="299"/>
    <x v="265"/>
    <x v="296"/>
    <x v="10"/>
    <n v="1"/>
    <x v="296"/>
    <s v="mbrockway8r@ibm.com"/>
    <x v="0"/>
    <x v="1"/>
    <x v="1"/>
    <n v="2.5"/>
    <x v="8"/>
    <x v="107"/>
    <x v="1"/>
    <x v="1"/>
    <x v="0"/>
  </r>
  <r>
    <x v="300"/>
    <x v="266"/>
    <x v="297"/>
    <x v="10"/>
    <n v="6"/>
    <x v="297"/>
    <s v="nlush8s@dedecms.com"/>
    <x v="1"/>
    <x v="1"/>
    <x v="1"/>
    <n v="2.5"/>
    <x v="8"/>
    <x v="106"/>
    <x v="1"/>
    <x v="1"/>
    <x v="1"/>
  </r>
  <r>
    <x v="301"/>
    <x v="267"/>
    <x v="298"/>
    <x v="6"/>
    <n v="3"/>
    <x v="298"/>
    <s v="smcmillian8t@csmonitor.com"/>
    <x v="0"/>
    <x v="1"/>
    <x v="2"/>
    <n v="0.5"/>
    <x v="5"/>
    <x v="6"/>
    <x v="1"/>
    <x v="2"/>
    <x v="1"/>
  </r>
  <r>
    <x v="302"/>
    <x v="204"/>
    <x v="299"/>
    <x v="37"/>
    <n v="2"/>
    <x v="299"/>
    <s v="tbennison8u@google.cn"/>
    <x v="0"/>
    <x v="2"/>
    <x v="0"/>
    <n v="2.5"/>
    <x v="31"/>
    <x v="95"/>
    <x v="2"/>
    <x v="0"/>
    <x v="0"/>
  </r>
  <r>
    <x v="303"/>
    <x v="268"/>
    <x v="300"/>
    <x v="18"/>
    <n v="2"/>
    <x v="300"/>
    <s v="gtweed8v@yolasite.com"/>
    <x v="0"/>
    <x v="1"/>
    <x v="0"/>
    <n v="0.2"/>
    <x v="16"/>
    <x v="112"/>
    <x v="1"/>
    <x v="0"/>
    <x v="0"/>
  </r>
  <r>
    <x v="303"/>
    <x v="268"/>
    <x v="300"/>
    <x v="29"/>
    <n v="5"/>
    <x v="300"/>
    <s v="gtweed8v@yolasite.com"/>
    <x v="0"/>
    <x v="2"/>
    <x v="1"/>
    <n v="0.2"/>
    <x v="10"/>
    <x v="117"/>
    <x v="2"/>
    <x v="1"/>
    <x v="0"/>
  </r>
  <r>
    <x v="304"/>
    <x v="269"/>
    <x v="301"/>
    <x v="14"/>
    <n v="6"/>
    <x v="301"/>
    <s v="ggoggin8x@wix.com"/>
    <x v="1"/>
    <x v="2"/>
    <x v="0"/>
    <n v="0.2"/>
    <x v="12"/>
    <x v="16"/>
    <x v="2"/>
    <x v="0"/>
    <x v="0"/>
  </r>
  <r>
    <x v="305"/>
    <x v="145"/>
    <x v="302"/>
    <x v="31"/>
    <n v="3"/>
    <x v="302"/>
    <s v="sjeyness8y@biglobe.ne.jp"/>
    <x v="1"/>
    <x v="3"/>
    <x v="2"/>
    <n v="0.5"/>
    <x v="26"/>
    <x v="102"/>
    <x v="3"/>
    <x v="2"/>
    <x v="1"/>
  </r>
  <r>
    <x v="306"/>
    <x v="270"/>
    <x v="303"/>
    <x v="15"/>
    <n v="5"/>
    <x v="303"/>
    <s v="dbonhome8z@shinystat.com"/>
    <x v="0"/>
    <x v="1"/>
    <x v="2"/>
    <n v="0.2"/>
    <x v="13"/>
    <x v="94"/>
    <x v="1"/>
    <x v="2"/>
    <x v="0"/>
  </r>
  <r>
    <x v="307"/>
    <x v="271"/>
    <x v="304"/>
    <x v="3"/>
    <n v="1"/>
    <x v="304"/>
    <s v=""/>
    <x v="0"/>
    <x v="1"/>
    <x v="0"/>
    <n v="1"/>
    <x v="3"/>
    <x v="154"/>
    <x v="1"/>
    <x v="0"/>
    <x v="1"/>
  </r>
  <r>
    <x v="308"/>
    <x v="272"/>
    <x v="305"/>
    <x v="44"/>
    <n v="1"/>
    <x v="305"/>
    <s v="tle91@epa.gov"/>
    <x v="0"/>
    <x v="2"/>
    <x v="1"/>
    <n v="2.5"/>
    <x v="24"/>
    <x v="91"/>
    <x v="2"/>
    <x v="1"/>
    <x v="0"/>
  </r>
  <r>
    <x v="309"/>
    <x v="252"/>
    <x v="306"/>
    <x v="39"/>
    <n v="5"/>
    <x v="306"/>
    <s v=""/>
    <x v="0"/>
    <x v="0"/>
    <x v="2"/>
    <n v="1"/>
    <x v="33"/>
    <x v="153"/>
    <x v="0"/>
    <x v="2"/>
    <x v="1"/>
  </r>
  <r>
    <x v="310"/>
    <x v="273"/>
    <x v="307"/>
    <x v="39"/>
    <n v="5"/>
    <x v="307"/>
    <s v="balldridge93@yandex.ru"/>
    <x v="0"/>
    <x v="0"/>
    <x v="2"/>
    <n v="1"/>
    <x v="33"/>
    <x v="153"/>
    <x v="0"/>
    <x v="2"/>
    <x v="0"/>
  </r>
  <r>
    <x v="311"/>
    <x v="274"/>
    <x v="308"/>
    <x v="23"/>
    <n v="4"/>
    <x v="308"/>
    <s v=""/>
    <x v="0"/>
    <x v="3"/>
    <x v="1"/>
    <n v="0.5"/>
    <x v="20"/>
    <x v="82"/>
    <x v="3"/>
    <x v="1"/>
    <x v="0"/>
  </r>
  <r>
    <x v="312"/>
    <x v="275"/>
    <x v="309"/>
    <x v="34"/>
    <n v="4"/>
    <x v="309"/>
    <s v="lgoodger95@guardian.co.uk"/>
    <x v="0"/>
    <x v="0"/>
    <x v="2"/>
    <n v="0.5"/>
    <x v="29"/>
    <x v="155"/>
    <x v="0"/>
    <x v="2"/>
    <x v="0"/>
  </r>
  <r>
    <x v="313"/>
    <x v="276"/>
    <x v="298"/>
    <x v="34"/>
    <n v="3"/>
    <x v="298"/>
    <s v="smcmillian8t@csmonitor.com"/>
    <x v="0"/>
    <x v="0"/>
    <x v="2"/>
    <n v="0.5"/>
    <x v="29"/>
    <x v="103"/>
    <x v="0"/>
    <x v="2"/>
    <x v="1"/>
  </r>
  <r>
    <x v="314"/>
    <x v="277"/>
    <x v="310"/>
    <x v="13"/>
    <n v="1"/>
    <x v="310"/>
    <s v="cdrewett97@wikipedia.org"/>
    <x v="0"/>
    <x v="0"/>
    <x v="0"/>
    <n v="2.5"/>
    <x v="11"/>
    <x v="156"/>
    <x v="0"/>
    <x v="0"/>
    <x v="0"/>
  </r>
  <r>
    <x v="315"/>
    <x v="278"/>
    <x v="311"/>
    <x v="20"/>
    <n v="3"/>
    <x v="311"/>
    <s v="qparsons98@blogtalkradio.com"/>
    <x v="0"/>
    <x v="2"/>
    <x v="2"/>
    <n v="0.5"/>
    <x v="7"/>
    <x v="8"/>
    <x v="2"/>
    <x v="2"/>
    <x v="0"/>
  </r>
  <r>
    <x v="316"/>
    <x v="279"/>
    <x v="312"/>
    <x v="8"/>
    <n v="4"/>
    <x v="312"/>
    <s v="vceely99@auda.org.au"/>
    <x v="0"/>
    <x v="0"/>
    <x v="0"/>
    <n v="0.5"/>
    <x v="7"/>
    <x v="86"/>
    <x v="0"/>
    <x v="0"/>
    <x v="0"/>
  </r>
  <r>
    <x v="317"/>
    <x v="280"/>
    <x v="313"/>
    <x v="41"/>
    <n v="5"/>
    <x v="313"/>
    <s v=""/>
    <x v="0"/>
    <x v="0"/>
    <x v="1"/>
    <n v="1"/>
    <x v="35"/>
    <x v="143"/>
    <x v="0"/>
    <x v="1"/>
    <x v="1"/>
  </r>
  <r>
    <x v="318"/>
    <x v="281"/>
    <x v="314"/>
    <x v="7"/>
    <n v="6"/>
    <x v="314"/>
    <s v="cvasiliev9b@discuz.net"/>
    <x v="0"/>
    <x v="3"/>
    <x v="1"/>
    <n v="0.2"/>
    <x v="6"/>
    <x v="32"/>
    <x v="3"/>
    <x v="1"/>
    <x v="0"/>
  </r>
  <r>
    <x v="319"/>
    <x v="282"/>
    <x v="315"/>
    <x v="17"/>
    <n v="4"/>
    <x v="315"/>
    <s v="tomoylan9c@liveinternet.ru"/>
    <x v="2"/>
    <x v="2"/>
    <x v="0"/>
    <n v="1"/>
    <x v="15"/>
    <x v="157"/>
    <x v="2"/>
    <x v="0"/>
    <x v="1"/>
  </r>
  <r>
    <x v="320"/>
    <x v="283"/>
    <x v="306"/>
    <x v="47"/>
    <n v="2"/>
    <x v="306"/>
    <s v=""/>
    <x v="0"/>
    <x v="1"/>
    <x v="2"/>
    <n v="2.5"/>
    <x v="39"/>
    <x v="158"/>
    <x v="1"/>
    <x v="2"/>
    <x v="1"/>
  </r>
  <r>
    <x v="321"/>
    <x v="284"/>
    <x v="316"/>
    <x v="33"/>
    <n v="4"/>
    <x v="316"/>
    <s v="wfetherston9e@constantcontact.com"/>
    <x v="0"/>
    <x v="1"/>
    <x v="1"/>
    <n v="1"/>
    <x v="28"/>
    <x v="48"/>
    <x v="1"/>
    <x v="1"/>
    <x v="1"/>
  </r>
  <r>
    <x v="322"/>
    <x v="285"/>
    <x v="317"/>
    <x v="15"/>
    <n v="2"/>
    <x v="317"/>
    <s v="erasmus9f@techcrunch.com"/>
    <x v="0"/>
    <x v="1"/>
    <x v="2"/>
    <n v="0.2"/>
    <x v="13"/>
    <x v="35"/>
    <x v="1"/>
    <x v="2"/>
    <x v="0"/>
  </r>
  <r>
    <x v="323"/>
    <x v="286"/>
    <x v="318"/>
    <x v="6"/>
    <n v="1"/>
    <x v="318"/>
    <s v="wgiorgioni9g@wikipedia.org"/>
    <x v="0"/>
    <x v="1"/>
    <x v="2"/>
    <n v="0.5"/>
    <x v="5"/>
    <x v="35"/>
    <x v="1"/>
    <x v="2"/>
    <x v="0"/>
  </r>
  <r>
    <x v="324"/>
    <x v="287"/>
    <x v="319"/>
    <x v="38"/>
    <n v="2"/>
    <x v="319"/>
    <s v="lscargle9h@myspace.com"/>
    <x v="0"/>
    <x v="1"/>
    <x v="1"/>
    <n v="0.5"/>
    <x v="32"/>
    <x v="58"/>
    <x v="1"/>
    <x v="1"/>
    <x v="1"/>
  </r>
  <r>
    <x v="324"/>
    <x v="287"/>
    <x v="319"/>
    <x v="31"/>
    <n v="5"/>
    <x v="319"/>
    <s v="lscargle9h@myspace.com"/>
    <x v="0"/>
    <x v="3"/>
    <x v="2"/>
    <n v="0.5"/>
    <x v="26"/>
    <x v="5"/>
    <x v="3"/>
    <x v="2"/>
    <x v="1"/>
  </r>
  <r>
    <x v="325"/>
    <x v="288"/>
    <x v="320"/>
    <x v="34"/>
    <n v="6"/>
    <x v="320"/>
    <s v="nclimance9j@europa.eu"/>
    <x v="0"/>
    <x v="0"/>
    <x v="2"/>
    <n v="0.5"/>
    <x v="29"/>
    <x v="111"/>
    <x v="0"/>
    <x v="2"/>
    <x v="1"/>
  </r>
  <r>
    <x v="326"/>
    <x v="250"/>
    <x v="321"/>
    <x v="0"/>
    <n v="2"/>
    <x v="321"/>
    <s v=""/>
    <x v="1"/>
    <x v="0"/>
    <x v="0"/>
    <n v="1"/>
    <x v="0"/>
    <x v="0"/>
    <x v="0"/>
    <x v="0"/>
    <x v="0"/>
  </r>
  <r>
    <x v="327"/>
    <x v="289"/>
    <x v="322"/>
    <x v="41"/>
    <n v="5"/>
    <x v="322"/>
    <s v="asnazle9l@oracle.com"/>
    <x v="0"/>
    <x v="0"/>
    <x v="1"/>
    <n v="1"/>
    <x v="35"/>
    <x v="143"/>
    <x v="0"/>
    <x v="1"/>
    <x v="1"/>
  </r>
  <r>
    <x v="328"/>
    <x v="290"/>
    <x v="323"/>
    <x v="42"/>
    <n v="3"/>
    <x v="323"/>
    <s v="rworg9m@arstechnica.com"/>
    <x v="0"/>
    <x v="2"/>
    <x v="1"/>
    <n v="0.5"/>
    <x v="26"/>
    <x v="102"/>
    <x v="2"/>
    <x v="1"/>
    <x v="0"/>
  </r>
  <r>
    <x v="329"/>
    <x v="291"/>
    <x v="324"/>
    <x v="24"/>
    <n v="3"/>
    <x v="324"/>
    <s v="ldanes9n@umn.edu"/>
    <x v="0"/>
    <x v="3"/>
    <x v="0"/>
    <n v="1"/>
    <x v="21"/>
    <x v="34"/>
    <x v="3"/>
    <x v="0"/>
    <x v="1"/>
  </r>
  <r>
    <x v="330"/>
    <x v="292"/>
    <x v="325"/>
    <x v="10"/>
    <n v="6"/>
    <x v="325"/>
    <s v="skeynd9o@narod.ru"/>
    <x v="0"/>
    <x v="1"/>
    <x v="1"/>
    <n v="2.5"/>
    <x v="8"/>
    <x v="106"/>
    <x v="1"/>
    <x v="1"/>
    <x v="1"/>
  </r>
  <r>
    <x v="331"/>
    <x v="293"/>
    <x v="326"/>
    <x v="40"/>
    <n v="4"/>
    <x v="326"/>
    <s v="ddaveridge9p@arstechnica.com"/>
    <x v="0"/>
    <x v="0"/>
    <x v="1"/>
    <n v="0.2"/>
    <x v="34"/>
    <x v="79"/>
    <x v="0"/>
    <x v="1"/>
    <x v="1"/>
  </r>
  <r>
    <x v="332"/>
    <x v="294"/>
    <x v="327"/>
    <x v="20"/>
    <n v="4"/>
    <x v="327"/>
    <s v="jawdry9q@utexas.edu"/>
    <x v="0"/>
    <x v="2"/>
    <x v="2"/>
    <n v="0.5"/>
    <x v="7"/>
    <x v="86"/>
    <x v="2"/>
    <x v="2"/>
    <x v="1"/>
  </r>
  <r>
    <x v="333"/>
    <x v="295"/>
    <x v="328"/>
    <x v="17"/>
    <n v="2"/>
    <x v="328"/>
    <s v="eryles9r@fastcompany.com"/>
    <x v="0"/>
    <x v="2"/>
    <x v="0"/>
    <n v="1"/>
    <x v="15"/>
    <x v="122"/>
    <x v="2"/>
    <x v="0"/>
    <x v="1"/>
  </r>
  <r>
    <x v="334"/>
    <x v="296"/>
    <x v="306"/>
    <x v="6"/>
    <n v="5"/>
    <x v="306"/>
    <s v=""/>
    <x v="0"/>
    <x v="1"/>
    <x v="2"/>
    <n v="0.5"/>
    <x v="5"/>
    <x v="114"/>
    <x v="1"/>
    <x v="2"/>
    <x v="1"/>
  </r>
  <r>
    <x v="335"/>
    <x v="297"/>
    <x v="329"/>
    <x v="19"/>
    <n v="4"/>
    <x v="329"/>
    <s v=""/>
    <x v="0"/>
    <x v="2"/>
    <x v="0"/>
    <n v="0.5"/>
    <x v="17"/>
    <x v="25"/>
    <x v="2"/>
    <x v="0"/>
    <x v="0"/>
  </r>
  <r>
    <x v="336"/>
    <x v="298"/>
    <x v="330"/>
    <x v="37"/>
    <n v="6"/>
    <x v="330"/>
    <s v="jcaldicott9u@usda.gov"/>
    <x v="0"/>
    <x v="2"/>
    <x v="0"/>
    <n v="2.5"/>
    <x v="31"/>
    <x v="71"/>
    <x v="2"/>
    <x v="0"/>
    <x v="1"/>
  </r>
  <r>
    <x v="337"/>
    <x v="299"/>
    <x v="331"/>
    <x v="30"/>
    <n v="5"/>
    <x v="331"/>
    <s v="mvedmore9v@a8.net"/>
    <x v="0"/>
    <x v="2"/>
    <x v="2"/>
    <n v="2.5"/>
    <x v="11"/>
    <x v="15"/>
    <x v="2"/>
    <x v="2"/>
    <x v="0"/>
  </r>
  <r>
    <x v="338"/>
    <x v="300"/>
    <x v="332"/>
    <x v="5"/>
    <n v="4"/>
    <x v="332"/>
    <s v="wromao9w@chronoengine.com"/>
    <x v="0"/>
    <x v="3"/>
    <x v="2"/>
    <n v="1"/>
    <x v="2"/>
    <x v="67"/>
    <x v="3"/>
    <x v="2"/>
    <x v="0"/>
  </r>
  <r>
    <x v="339"/>
    <x v="301"/>
    <x v="333"/>
    <x v="37"/>
    <n v="6"/>
    <x v="333"/>
    <s v=""/>
    <x v="0"/>
    <x v="2"/>
    <x v="0"/>
    <n v="2.5"/>
    <x v="31"/>
    <x v="71"/>
    <x v="2"/>
    <x v="0"/>
    <x v="1"/>
  </r>
  <r>
    <x v="340"/>
    <x v="302"/>
    <x v="334"/>
    <x v="44"/>
    <n v="1"/>
    <x v="334"/>
    <s v="tcotmore9y@amazonaws.com"/>
    <x v="0"/>
    <x v="2"/>
    <x v="1"/>
    <n v="2.5"/>
    <x v="24"/>
    <x v="91"/>
    <x v="2"/>
    <x v="1"/>
    <x v="1"/>
  </r>
  <r>
    <x v="341"/>
    <x v="303"/>
    <x v="335"/>
    <x v="40"/>
    <n v="6"/>
    <x v="335"/>
    <s v="yskipsey9z@spotify.com"/>
    <x v="2"/>
    <x v="0"/>
    <x v="1"/>
    <n v="0.2"/>
    <x v="34"/>
    <x v="137"/>
    <x v="0"/>
    <x v="1"/>
    <x v="1"/>
  </r>
  <r>
    <x v="342"/>
    <x v="304"/>
    <x v="336"/>
    <x v="11"/>
    <n v="2"/>
    <x v="336"/>
    <s v="ncorpsa0@gmpg.org"/>
    <x v="0"/>
    <x v="0"/>
    <x v="2"/>
    <n v="2.5"/>
    <x v="9"/>
    <x v="13"/>
    <x v="0"/>
    <x v="2"/>
    <x v="1"/>
  </r>
  <r>
    <x v="342"/>
    <x v="304"/>
    <x v="336"/>
    <x v="8"/>
    <n v="1"/>
    <x v="336"/>
    <s v="ncorpsa0@gmpg.org"/>
    <x v="0"/>
    <x v="0"/>
    <x v="0"/>
    <n v="0.5"/>
    <x v="7"/>
    <x v="9"/>
    <x v="0"/>
    <x v="0"/>
    <x v="1"/>
  </r>
  <r>
    <x v="343"/>
    <x v="305"/>
    <x v="337"/>
    <x v="33"/>
    <n v="5"/>
    <x v="337"/>
    <s v="fbabbera2@stanford.edu"/>
    <x v="0"/>
    <x v="1"/>
    <x v="1"/>
    <n v="1"/>
    <x v="28"/>
    <x v="159"/>
    <x v="1"/>
    <x v="1"/>
    <x v="0"/>
  </r>
  <r>
    <x v="344"/>
    <x v="196"/>
    <x v="338"/>
    <x v="24"/>
    <n v="6"/>
    <x v="338"/>
    <s v="kloxtona3@opensource.org"/>
    <x v="0"/>
    <x v="3"/>
    <x v="0"/>
    <n v="1"/>
    <x v="21"/>
    <x v="75"/>
    <x v="3"/>
    <x v="0"/>
    <x v="1"/>
  </r>
  <r>
    <x v="345"/>
    <x v="110"/>
    <x v="339"/>
    <x v="45"/>
    <n v="6"/>
    <x v="339"/>
    <s v="ptoffula4@posterous.com"/>
    <x v="0"/>
    <x v="1"/>
    <x v="2"/>
    <n v="1"/>
    <x v="37"/>
    <x v="118"/>
    <x v="1"/>
    <x v="2"/>
    <x v="0"/>
  </r>
  <r>
    <x v="346"/>
    <x v="24"/>
    <x v="340"/>
    <x v="31"/>
    <n v="1"/>
    <x v="340"/>
    <s v="cgwinnetta5@behance.net"/>
    <x v="0"/>
    <x v="3"/>
    <x v="2"/>
    <n v="0.5"/>
    <x v="26"/>
    <x v="41"/>
    <x v="3"/>
    <x v="2"/>
    <x v="1"/>
  </r>
  <r>
    <x v="347"/>
    <x v="306"/>
    <x v="341"/>
    <x v="6"/>
    <n v="6"/>
    <x v="341"/>
    <s v=""/>
    <x v="0"/>
    <x v="1"/>
    <x v="2"/>
    <n v="0.5"/>
    <x v="5"/>
    <x v="160"/>
    <x v="1"/>
    <x v="2"/>
    <x v="1"/>
  </r>
  <r>
    <x v="348"/>
    <x v="307"/>
    <x v="342"/>
    <x v="21"/>
    <n v="2"/>
    <x v="342"/>
    <s v=""/>
    <x v="0"/>
    <x v="3"/>
    <x v="0"/>
    <n v="0.2"/>
    <x v="18"/>
    <x v="31"/>
    <x v="3"/>
    <x v="0"/>
    <x v="0"/>
  </r>
  <r>
    <x v="349"/>
    <x v="308"/>
    <x v="343"/>
    <x v="28"/>
    <n v="2"/>
    <x v="343"/>
    <s v="lflaoniera8@wordpress.org"/>
    <x v="0"/>
    <x v="1"/>
    <x v="0"/>
    <n v="2.5"/>
    <x v="25"/>
    <x v="40"/>
    <x v="1"/>
    <x v="0"/>
    <x v="1"/>
  </r>
  <r>
    <x v="350"/>
    <x v="309"/>
    <x v="344"/>
    <x v="38"/>
    <n v="1"/>
    <x v="344"/>
    <s v=""/>
    <x v="0"/>
    <x v="1"/>
    <x v="1"/>
    <n v="0.5"/>
    <x v="32"/>
    <x v="161"/>
    <x v="1"/>
    <x v="1"/>
    <x v="0"/>
  </r>
  <r>
    <x v="351"/>
    <x v="310"/>
    <x v="345"/>
    <x v="45"/>
    <n v="2"/>
    <x v="345"/>
    <s v="ccatchesideaa@macromedia.com"/>
    <x v="0"/>
    <x v="1"/>
    <x v="2"/>
    <n v="1"/>
    <x v="37"/>
    <x v="76"/>
    <x v="1"/>
    <x v="2"/>
    <x v="0"/>
  </r>
  <r>
    <x v="352"/>
    <x v="311"/>
    <x v="346"/>
    <x v="42"/>
    <n v="6"/>
    <x v="346"/>
    <s v="cgibbonsonab@accuweather.com"/>
    <x v="0"/>
    <x v="2"/>
    <x v="1"/>
    <n v="0.5"/>
    <x v="26"/>
    <x v="162"/>
    <x v="2"/>
    <x v="1"/>
    <x v="0"/>
  </r>
  <r>
    <x v="353"/>
    <x v="132"/>
    <x v="347"/>
    <x v="35"/>
    <n v="6"/>
    <x v="347"/>
    <s v="tfarraac@behance.net"/>
    <x v="0"/>
    <x v="0"/>
    <x v="1"/>
    <n v="0.5"/>
    <x v="30"/>
    <x v="163"/>
    <x v="0"/>
    <x v="1"/>
    <x v="1"/>
  </r>
  <r>
    <x v="354"/>
    <x v="312"/>
    <x v="348"/>
    <x v="20"/>
    <n v="3"/>
    <x v="348"/>
    <s v=""/>
    <x v="1"/>
    <x v="2"/>
    <x v="2"/>
    <n v="0.5"/>
    <x v="7"/>
    <x v="8"/>
    <x v="2"/>
    <x v="2"/>
    <x v="0"/>
  </r>
  <r>
    <x v="355"/>
    <x v="313"/>
    <x v="349"/>
    <x v="23"/>
    <n v="4"/>
    <x v="349"/>
    <s v="gbamfieldae@yellowpages.com"/>
    <x v="0"/>
    <x v="3"/>
    <x v="1"/>
    <n v="0.5"/>
    <x v="20"/>
    <x v="82"/>
    <x v="3"/>
    <x v="1"/>
    <x v="0"/>
  </r>
  <r>
    <x v="356"/>
    <x v="156"/>
    <x v="350"/>
    <x v="14"/>
    <n v="2"/>
    <x v="350"/>
    <s v="whollingdaleaf@about.me"/>
    <x v="0"/>
    <x v="2"/>
    <x v="0"/>
    <n v="0.2"/>
    <x v="12"/>
    <x v="52"/>
    <x v="2"/>
    <x v="0"/>
    <x v="0"/>
  </r>
  <r>
    <x v="357"/>
    <x v="314"/>
    <x v="351"/>
    <x v="8"/>
    <n v="1"/>
    <x v="351"/>
    <s v="jdeag@xrea.com"/>
    <x v="0"/>
    <x v="0"/>
    <x v="0"/>
    <n v="0.5"/>
    <x v="7"/>
    <x v="9"/>
    <x v="0"/>
    <x v="0"/>
    <x v="0"/>
  </r>
  <r>
    <x v="358"/>
    <x v="315"/>
    <x v="352"/>
    <x v="25"/>
    <n v="3"/>
    <x v="352"/>
    <s v="vskulletah@tinyurl.com"/>
    <x v="1"/>
    <x v="0"/>
    <x v="2"/>
    <n v="0.2"/>
    <x v="22"/>
    <x v="36"/>
    <x v="0"/>
    <x v="2"/>
    <x v="1"/>
  </r>
  <r>
    <x v="359"/>
    <x v="316"/>
    <x v="353"/>
    <x v="42"/>
    <n v="3"/>
    <x v="353"/>
    <s v="jrudeforthai@wunderground.com"/>
    <x v="1"/>
    <x v="2"/>
    <x v="1"/>
    <n v="0.5"/>
    <x v="26"/>
    <x v="102"/>
    <x v="2"/>
    <x v="1"/>
    <x v="0"/>
  </r>
  <r>
    <x v="360"/>
    <x v="317"/>
    <x v="354"/>
    <x v="35"/>
    <n v="6"/>
    <x v="354"/>
    <s v="atomaszewskiaj@answers.com"/>
    <x v="2"/>
    <x v="0"/>
    <x v="1"/>
    <n v="0.5"/>
    <x v="30"/>
    <x v="163"/>
    <x v="0"/>
    <x v="1"/>
    <x v="0"/>
  </r>
  <r>
    <x v="361"/>
    <x v="318"/>
    <x v="306"/>
    <x v="31"/>
    <n v="3"/>
    <x v="306"/>
    <s v=""/>
    <x v="0"/>
    <x v="3"/>
    <x v="2"/>
    <n v="0.5"/>
    <x v="26"/>
    <x v="102"/>
    <x v="3"/>
    <x v="2"/>
    <x v="1"/>
  </r>
  <r>
    <x v="362"/>
    <x v="182"/>
    <x v="355"/>
    <x v="16"/>
    <n v="5"/>
    <x v="355"/>
    <s v="pbessal@qq.com"/>
    <x v="0"/>
    <x v="2"/>
    <x v="2"/>
    <n v="0.2"/>
    <x v="14"/>
    <x v="128"/>
    <x v="2"/>
    <x v="2"/>
    <x v="0"/>
  </r>
  <r>
    <x v="363"/>
    <x v="319"/>
    <x v="356"/>
    <x v="6"/>
    <n v="3"/>
    <x v="356"/>
    <s v="ewindressam@marketwatch.com"/>
    <x v="0"/>
    <x v="1"/>
    <x v="2"/>
    <n v="0.5"/>
    <x v="5"/>
    <x v="6"/>
    <x v="1"/>
    <x v="2"/>
    <x v="1"/>
  </r>
  <r>
    <x v="364"/>
    <x v="320"/>
    <x v="357"/>
    <x v="38"/>
    <n v="6"/>
    <x v="357"/>
    <s v=""/>
    <x v="0"/>
    <x v="1"/>
    <x v="1"/>
    <n v="0.5"/>
    <x v="32"/>
    <x v="119"/>
    <x v="1"/>
    <x v="1"/>
    <x v="0"/>
  </r>
  <r>
    <x v="365"/>
    <x v="321"/>
    <x v="358"/>
    <x v="44"/>
    <n v="4"/>
    <x v="358"/>
    <s v=""/>
    <x v="0"/>
    <x v="2"/>
    <x v="1"/>
    <n v="2.5"/>
    <x v="24"/>
    <x v="129"/>
    <x v="2"/>
    <x v="1"/>
    <x v="1"/>
  </r>
  <r>
    <x v="366"/>
    <x v="322"/>
    <x v="359"/>
    <x v="22"/>
    <n v="5"/>
    <x v="359"/>
    <s v="vbaumadierap@google.cn"/>
    <x v="0"/>
    <x v="3"/>
    <x v="0"/>
    <n v="0.5"/>
    <x v="19"/>
    <x v="34"/>
    <x v="3"/>
    <x v="0"/>
    <x v="0"/>
  </r>
  <r>
    <x v="367"/>
    <x v="128"/>
    <x v="360"/>
    <x v="16"/>
    <n v="6"/>
    <x v="360"/>
    <s v=""/>
    <x v="0"/>
    <x v="2"/>
    <x v="2"/>
    <n v="0.2"/>
    <x v="14"/>
    <x v="8"/>
    <x v="2"/>
    <x v="2"/>
    <x v="0"/>
  </r>
  <r>
    <x v="368"/>
    <x v="323"/>
    <x v="361"/>
    <x v="33"/>
    <n v="5"/>
    <x v="361"/>
    <s v="sweldsar@wired.com"/>
    <x v="0"/>
    <x v="1"/>
    <x v="1"/>
    <n v="1"/>
    <x v="28"/>
    <x v="159"/>
    <x v="1"/>
    <x v="1"/>
    <x v="0"/>
  </r>
  <r>
    <x v="369"/>
    <x v="324"/>
    <x v="362"/>
    <x v="12"/>
    <n v="3"/>
    <x v="362"/>
    <s v="msarvaras@artisteer.com"/>
    <x v="0"/>
    <x v="3"/>
    <x v="2"/>
    <n v="0.2"/>
    <x v="10"/>
    <x v="14"/>
    <x v="3"/>
    <x v="2"/>
    <x v="0"/>
  </r>
  <r>
    <x v="370"/>
    <x v="325"/>
    <x v="363"/>
    <x v="31"/>
    <n v="3"/>
    <x v="363"/>
    <s v="ahavickat@nsw.gov.au"/>
    <x v="0"/>
    <x v="3"/>
    <x v="2"/>
    <n v="0.5"/>
    <x v="26"/>
    <x v="102"/>
    <x v="3"/>
    <x v="2"/>
    <x v="0"/>
  </r>
  <r>
    <x v="371"/>
    <x v="326"/>
    <x v="364"/>
    <x v="6"/>
    <n v="2"/>
    <x v="364"/>
    <s v="sdivinyau@ask.com"/>
    <x v="0"/>
    <x v="1"/>
    <x v="2"/>
    <n v="0.5"/>
    <x v="5"/>
    <x v="20"/>
    <x v="1"/>
    <x v="2"/>
    <x v="0"/>
  </r>
  <r>
    <x v="372"/>
    <x v="327"/>
    <x v="365"/>
    <x v="19"/>
    <n v="2"/>
    <x v="365"/>
    <s v="inorquoyav@businessweek.com"/>
    <x v="0"/>
    <x v="2"/>
    <x v="0"/>
    <n v="0.5"/>
    <x v="17"/>
    <x v="72"/>
    <x v="2"/>
    <x v="0"/>
    <x v="1"/>
  </r>
  <r>
    <x v="373"/>
    <x v="328"/>
    <x v="366"/>
    <x v="33"/>
    <n v="6"/>
    <x v="366"/>
    <s v="aiddisonaw@usa.gov"/>
    <x v="0"/>
    <x v="1"/>
    <x v="1"/>
    <n v="1"/>
    <x v="28"/>
    <x v="146"/>
    <x v="1"/>
    <x v="1"/>
    <x v="1"/>
  </r>
  <r>
    <x v="373"/>
    <x v="328"/>
    <x v="366"/>
    <x v="29"/>
    <n v="1"/>
    <x v="366"/>
    <s v="aiddisonaw@usa.gov"/>
    <x v="0"/>
    <x v="2"/>
    <x v="1"/>
    <n v="0.2"/>
    <x v="10"/>
    <x v="84"/>
    <x v="2"/>
    <x v="1"/>
    <x v="1"/>
  </r>
  <r>
    <x v="374"/>
    <x v="128"/>
    <x v="367"/>
    <x v="4"/>
    <n v="4"/>
    <x v="367"/>
    <s v="rlongfielday@bluehost.com"/>
    <x v="0"/>
    <x v="0"/>
    <x v="1"/>
    <n v="2.5"/>
    <x v="4"/>
    <x v="108"/>
    <x v="0"/>
    <x v="1"/>
    <x v="1"/>
  </r>
  <r>
    <x v="375"/>
    <x v="329"/>
    <x v="368"/>
    <x v="31"/>
    <n v="6"/>
    <x v="368"/>
    <s v="gkislingburyaz@samsung.com"/>
    <x v="0"/>
    <x v="3"/>
    <x v="2"/>
    <n v="0.5"/>
    <x v="26"/>
    <x v="162"/>
    <x v="3"/>
    <x v="2"/>
    <x v="0"/>
  </r>
  <r>
    <x v="376"/>
    <x v="330"/>
    <x v="369"/>
    <x v="42"/>
    <n v="5"/>
    <x v="369"/>
    <s v="xgibbonsb0@artisteer.com"/>
    <x v="0"/>
    <x v="2"/>
    <x v="1"/>
    <n v="0.5"/>
    <x v="26"/>
    <x v="5"/>
    <x v="2"/>
    <x v="1"/>
    <x v="1"/>
  </r>
  <r>
    <x v="377"/>
    <x v="331"/>
    <x v="370"/>
    <x v="31"/>
    <n v="4"/>
    <x v="370"/>
    <s v="fparresb1@imageshack.us"/>
    <x v="0"/>
    <x v="3"/>
    <x v="2"/>
    <n v="0.5"/>
    <x v="26"/>
    <x v="113"/>
    <x v="3"/>
    <x v="2"/>
    <x v="0"/>
  </r>
  <r>
    <x v="378"/>
    <x v="332"/>
    <x v="371"/>
    <x v="16"/>
    <n v="6"/>
    <x v="371"/>
    <s v="gsibrayb2@wsj.com"/>
    <x v="0"/>
    <x v="2"/>
    <x v="2"/>
    <n v="0.2"/>
    <x v="14"/>
    <x v="8"/>
    <x v="2"/>
    <x v="2"/>
    <x v="0"/>
  </r>
  <r>
    <x v="379"/>
    <x v="333"/>
    <x v="372"/>
    <x v="47"/>
    <n v="6"/>
    <x v="372"/>
    <s v="ihotchkinb3@mit.edu"/>
    <x v="2"/>
    <x v="1"/>
    <x v="2"/>
    <n v="2.5"/>
    <x v="39"/>
    <x v="164"/>
    <x v="1"/>
    <x v="2"/>
    <x v="1"/>
  </r>
  <r>
    <x v="380"/>
    <x v="334"/>
    <x v="373"/>
    <x v="32"/>
    <n v="4"/>
    <x v="373"/>
    <s v="nbroadberrieb4@gnu.org"/>
    <x v="0"/>
    <x v="3"/>
    <x v="1"/>
    <n v="1"/>
    <x v="27"/>
    <x v="165"/>
    <x v="3"/>
    <x v="1"/>
    <x v="1"/>
  </r>
  <r>
    <x v="381"/>
    <x v="335"/>
    <x v="374"/>
    <x v="21"/>
    <n v="2"/>
    <x v="374"/>
    <s v="rpithcockb5@yellowbook.com"/>
    <x v="0"/>
    <x v="3"/>
    <x v="0"/>
    <n v="0.2"/>
    <x v="18"/>
    <x v="31"/>
    <x v="3"/>
    <x v="0"/>
    <x v="0"/>
  </r>
  <r>
    <x v="382"/>
    <x v="336"/>
    <x v="375"/>
    <x v="39"/>
    <n v="3"/>
    <x v="375"/>
    <s v="gcroysdaleb6@nih.gov"/>
    <x v="0"/>
    <x v="0"/>
    <x v="2"/>
    <n v="1"/>
    <x v="33"/>
    <x v="166"/>
    <x v="0"/>
    <x v="2"/>
    <x v="0"/>
  </r>
  <r>
    <x v="383"/>
    <x v="337"/>
    <x v="376"/>
    <x v="7"/>
    <n v="2"/>
    <x v="376"/>
    <s v="bgozzettb7@github.com"/>
    <x v="0"/>
    <x v="3"/>
    <x v="1"/>
    <n v="0.2"/>
    <x v="6"/>
    <x v="54"/>
    <x v="3"/>
    <x v="1"/>
    <x v="1"/>
  </r>
  <r>
    <x v="384"/>
    <x v="80"/>
    <x v="377"/>
    <x v="9"/>
    <n v="4"/>
    <x v="377"/>
    <s v="tcraggsb8@house.gov"/>
    <x v="1"/>
    <x v="2"/>
    <x v="2"/>
    <n v="1"/>
    <x v="0"/>
    <x v="10"/>
    <x v="2"/>
    <x v="2"/>
    <x v="1"/>
  </r>
  <r>
    <x v="385"/>
    <x v="338"/>
    <x v="378"/>
    <x v="1"/>
    <n v="3"/>
    <x v="378"/>
    <s v="lcullrfordb9@xing.com"/>
    <x v="0"/>
    <x v="1"/>
    <x v="0"/>
    <n v="0.5"/>
    <x v="1"/>
    <x v="167"/>
    <x v="1"/>
    <x v="0"/>
    <x v="0"/>
  </r>
  <r>
    <x v="386"/>
    <x v="339"/>
    <x v="379"/>
    <x v="3"/>
    <n v="5"/>
    <x v="379"/>
    <s v="arizonba@xing.com"/>
    <x v="0"/>
    <x v="1"/>
    <x v="0"/>
    <n v="1"/>
    <x v="3"/>
    <x v="85"/>
    <x v="1"/>
    <x v="0"/>
    <x v="0"/>
  </r>
  <r>
    <x v="387"/>
    <x v="340"/>
    <x v="380"/>
    <x v="1"/>
    <n v="6"/>
    <x v="380"/>
    <s v=""/>
    <x v="1"/>
    <x v="1"/>
    <x v="0"/>
    <n v="0.5"/>
    <x v="1"/>
    <x v="168"/>
    <x v="1"/>
    <x v="0"/>
    <x v="1"/>
  </r>
  <r>
    <x v="388"/>
    <x v="177"/>
    <x v="381"/>
    <x v="37"/>
    <n v="2"/>
    <x v="381"/>
    <s v="fmiellbc@spiegel.de"/>
    <x v="0"/>
    <x v="2"/>
    <x v="0"/>
    <n v="2.5"/>
    <x v="31"/>
    <x v="95"/>
    <x v="2"/>
    <x v="0"/>
    <x v="0"/>
  </r>
  <r>
    <x v="389"/>
    <x v="341"/>
    <x v="382"/>
    <x v="32"/>
    <n v="3"/>
    <x v="382"/>
    <s v=""/>
    <x v="1"/>
    <x v="3"/>
    <x v="1"/>
    <n v="1"/>
    <x v="27"/>
    <x v="46"/>
    <x v="3"/>
    <x v="1"/>
    <x v="0"/>
  </r>
  <r>
    <x v="390"/>
    <x v="342"/>
    <x v="383"/>
    <x v="29"/>
    <n v="4"/>
    <x v="383"/>
    <s v=""/>
    <x v="0"/>
    <x v="2"/>
    <x v="1"/>
    <n v="0.2"/>
    <x v="10"/>
    <x v="42"/>
    <x v="2"/>
    <x v="1"/>
    <x v="1"/>
  </r>
  <r>
    <x v="391"/>
    <x v="343"/>
    <x v="384"/>
    <x v="24"/>
    <n v="6"/>
    <x v="384"/>
    <s v=""/>
    <x v="0"/>
    <x v="3"/>
    <x v="0"/>
    <n v="1"/>
    <x v="21"/>
    <x v="75"/>
    <x v="3"/>
    <x v="0"/>
    <x v="0"/>
  </r>
  <r>
    <x v="392"/>
    <x v="344"/>
    <x v="385"/>
    <x v="17"/>
    <n v="5"/>
    <x v="385"/>
    <s v=""/>
    <x v="0"/>
    <x v="2"/>
    <x v="0"/>
    <n v="1"/>
    <x v="15"/>
    <x v="126"/>
    <x v="2"/>
    <x v="0"/>
    <x v="0"/>
  </r>
  <r>
    <x v="393"/>
    <x v="47"/>
    <x v="386"/>
    <x v="26"/>
    <n v="1"/>
    <x v="386"/>
    <s v="wspringallbh@jugem.jp"/>
    <x v="0"/>
    <x v="3"/>
    <x v="1"/>
    <n v="2.5"/>
    <x v="23"/>
    <x v="133"/>
    <x v="3"/>
    <x v="1"/>
    <x v="0"/>
  </r>
  <r>
    <x v="394"/>
    <x v="345"/>
    <x v="387"/>
    <x v="40"/>
    <n v="3"/>
    <x v="387"/>
    <s v=""/>
    <x v="0"/>
    <x v="0"/>
    <x v="1"/>
    <n v="0.2"/>
    <x v="34"/>
    <x v="127"/>
    <x v="0"/>
    <x v="1"/>
    <x v="0"/>
  </r>
  <r>
    <x v="395"/>
    <x v="169"/>
    <x v="388"/>
    <x v="36"/>
    <n v="3"/>
    <x v="388"/>
    <s v="ghawkyensbj@census.gov"/>
    <x v="0"/>
    <x v="0"/>
    <x v="0"/>
    <n v="0.2"/>
    <x v="14"/>
    <x v="169"/>
    <x v="0"/>
    <x v="0"/>
    <x v="1"/>
  </r>
  <r>
    <x v="396"/>
    <x v="346"/>
    <x v="389"/>
    <x v="42"/>
    <n v="3"/>
    <x v="389"/>
    <s v=""/>
    <x v="0"/>
    <x v="2"/>
    <x v="1"/>
    <n v="0.5"/>
    <x v="26"/>
    <x v="102"/>
    <x v="2"/>
    <x v="1"/>
    <x v="0"/>
  </r>
  <r>
    <x v="397"/>
    <x v="347"/>
    <x v="390"/>
    <x v="44"/>
    <n v="1"/>
    <x v="390"/>
    <s v=""/>
    <x v="0"/>
    <x v="2"/>
    <x v="1"/>
    <n v="2.5"/>
    <x v="24"/>
    <x v="91"/>
    <x v="2"/>
    <x v="1"/>
    <x v="0"/>
  </r>
  <r>
    <x v="398"/>
    <x v="348"/>
    <x v="391"/>
    <x v="44"/>
    <n v="5"/>
    <x v="391"/>
    <s v="bmcgilvrabm@so-net.ne.jp"/>
    <x v="0"/>
    <x v="2"/>
    <x v="1"/>
    <n v="2.5"/>
    <x v="24"/>
    <x v="74"/>
    <x v="2"/>
    <x v="1"/>
    <x v="0"/>
  </r>
  <r>
    <x v="399"/>
    <x v="349"/>
    <x v="392"/>
    <x v="22"/>
    <n v="1"/>
    <x v="392"/>
    <s v="adanzeybn@github.com"/>
    <x v="0"/>
    <x v="3"/>
    <x v="0"/>
    <n v="0.5"/>
    <x v="19"/>
    <x v="31"/>
    <x v="3"/>
    <x v="0"/>
    <x v="0"/>
  </r>
  <r>
    <x v="400"/>
    <x v="350"/>
    <x v="347"/>
    <x v="31"/>
    <n v="4"/>
    <x v="347"/>
    <s v="tfarraac@behance.net"/>
    <x v="0"/>
    <x v="3"/>
    <x v="2"/>
    <n v="0.5"/>
    <x v="26"/>
    <x v="113"/>
    <x v="3"/>
    <x v="2"/>
    <x v="1"/>
  </r>
  <r>
    <x v="400"/>
    <x v="350"/>
    <x v="347"/>
    <x v="30"/>
    <n v="6"/>
    <x v="347"/>
    <s v="tfarraac@behance.net"/>
    <x v="0"/>
    <x v="2"/>
    <x v="2"/>
    <n v="2.5"/>
    <x v="11"/>
    <x v="170"/>
    <x v="2"/>
    <x v="2"/>
    <x v="1"/>
  </r>
  <r>
    <x v="401"/>
    <x v="54"/>
    <x v="393"/>
    <x v="20"/>
    <n v="5"/>
    <x v="393"/>
    <s v=""/>
    <x v="0"/>
    <x v="2"/>
    <x v="2"/>
    <n v="0.5"/>
    <x v="7"/>
    <x v="44"/>
    <x v="2"/>
    <x v="2"/>
    <x v="1"/>
  </r>
  <r>
    <x v="402"/>
    <x v="237"/>
    <x v="394"/>
    <x v="8"/>
    <n v="3"/>
    <x v="394"/>
    <s v=""/>
    <x v="0"/>
    <x v="0"/>
    <x v="0"/>
    <n v="0.5"/>
    <x v="7"/>
    <x v="8"/>
    <x v="0"/>
    <x v="0"/>
    <x v="1"/>
  </r>
  <r>
    <x v="403"/>
    <x v="351"/>
    <x v="395"/>
    <x v="38"/>
    <n v="3"/>
    <x v="395"/>
    <s v="ydombrellbs@dedecms.com"/>
    <x v="0"/>
    <x v="1"/>
    <x v="1"/>
    <n v="0.5"/>
    <x v="32"/>
    <x v="149"/>
    <x v="1"/>
    <x v="1"/>
    <x v="0"/>
  </r>
  <r>
    <x v="404"/>
    <x v="352"/>
    <x v="396"/>
    <x v="39"/>
    <n v="2"/>
    <x v="396"/>
    <s v="adarthbt@t.co"/>
    <x v="0"/>
    <x v="0"/>
    <x v="2"/>
    <n v="1"/>
    <x v="33"/>
    <x v="105"/>
    <x v="0"/>
    <x v="2"/>
    <x v="1"/>
  </r>
  <r>
    <x v="405"/>
    <x v="102"/>
    <x v="397"/>
    <x v="40"/>
    <n v="4"/>
    <x v="397"/>
    <s v="mdarrigoebu@hud.gov"/>
    <x v="1"/>
    <x v="0"/>
    <x v="1"/>
    <n v="0.2"/>
    <x v="34"/>
    <x v="79"/>
    <x v="0"/>
    <x v="1"/>
    <x v="0"/>
  </r>
  <r>
    <x v="406"/>
    <x v="353"/>
    <x v="398"/>
    <x v="37"/>
    <n v="3"/>
    <x v="398"/>
    <s v=""/>
    <x v="0"/>
    <x v="2"/>
    <x v="0"/>
    <n v="2.5"/>
    <x v="31"/>
    <x v="57"/>
    <x v="2"/>
    <x v="0"/>
    <x v="0"/>
  </r>
  <r>
    <x v="407"/>
    <x v="354"/>
    <x v="399"/>
    <x v="41"/>
    <n v="5"/>
    <x v="399"/>
    <s v="mackrillbw@bandcamp.com"/>
    <x v="0"/>
    <x v="0"/>
    <x v="1"/>
    <n v="1"/>
    <x v="35"/>
    <x v="143"/>
    <x v="0"/>
    <x v="1"/>
    <x v="1"/>
  </r>
  <r>
    <x v="408"/>
    <x v="135"/>
    <x v="347"/>
    <x v="2"/>
    <n v="6"/>
    <x v="347"/>
    <s v="tfarraac@behance.net"/>
    <x v="0"/>
    <x v="2"/>
    <x v="1"/>
    <n v="1"/>
    <x v="2"/>
    <x v="17"/>
    <x v="2"/>
    <x v="1"/>
    <x v="1"/>
  </r>
  <r>
    <x v="409"/>
    <x v="343"/>
    <x v="400"/>
    <x v="25"/>
    <n v="2"/>
    <x v="400"/>
    <s v="mkippenby@dion.ne.jp"/>
    <x v="0"/>
    <x v="0"/>
    <x v="2"/>
    <n v="0.2"/>
    <x v="22"/>
    <x v="147"/>
    <x v="0"/>
    <x v="2"/>
    <x v="0"/>
  </r>
  <r>
    <x v="410"/>
    <x v="89"/>
    <x v="401"/>
    <x v="47"/>
    <n v="3"/>
    <x v="401"/>
    <s v="wransonbz@ted.com"/>
    <x v="1"/>
    <x v="1"/>
    <x v="2"/>
    <n v="2.5"/>
    <x v="39"/>
    <x v="171"/>
    <x v="1"/>
    <x v="2"/>
    <x v="0"/>
  </r>
  <r>
    <x v="411"/>
    <x v="355"/>
    <x v="402"/>
    <x v="17"/>
    <n v="2"/>
    <x v="402"/>
    <s v=""/>
    <x v="0"/>
    <x v="2"/>
    <x v="0"/>
    <n v="1"/>
    <x v="15"/>
    <x v="122"/>
    <x v="2"/>
    <x v="0"/>
    <x v="1"/>
  </r>
  <r>
    <x v="412"/>
    <x v="204"/>
    <x v="403"/>
    <x v="43"/>
    <n v="6"/>
    <x v="403"/>
    <s v="lrignoldc1@miibeian.gov.cn"/>
    <x v="0"/>
    <x v="3"/>
    <x v="0"/>
    <n v="2.5"/>
    <x v="36"/>
    <x v="172"/>
    <x v="3"/>
    <x v="0"/>
    <x v="0"/>
  </r>
  <r>
    <x v="413"/>
    <x v="356"/>
    <x v="404"/>
    <x v="17"/>
    <n v="6"/>
    <x v="404"/>
    <s v=""/>
    <x v="0"/>
    <x v="2"/>
    <x v="0"/>
    <n v="1"/>
    <x v="15"/>
    <x v="173"/>
    <x v="2"/>
    <x v="0"/>
    <x v="1"/>
  </r>
  <r>
    <x v="414"/>
    <x v="357"/>
    <x v="405"/>
    <x v="1"/>
    <n v="1"/>
    <x v="405"/>
    <s v="crowthornc3@msn.com"/>
    <x v="0"/>
    <x v="1"/>
    <x v="0"/>
    <n v="0.5"/>
    <x v="1"/>
    <x v="112"/>
    <x v="1"/>
    <x v="0"/>
    <x v="1"/>
  </r>
  <r>
    <x v="415"/>
    <x v="300"/>
    <x v="406"/>
    <x v="7"/>
    <n v="2"/>
    <x v="406"/>
    <s v="orylandc4@deviantart.com"/>
    <x v="0"/>
    <x v="3"/>
    <x v="1"/>
    <n v="0.2"/>
    <x v="6"/>
    <x v="54"/>
    <x v="3"/>
    <x v="1"/>
    <x v="0"/>
  </r>
  <r>
    <x v="416"/>
    <x v="358"/>
    <x v="407"/>
    <x v="27"/>
    <n v="1"/>
    <x v="407"/>
    <s v=""/>
    <x v="0"/>
    <x v="3"/>
    <x v="2"/>
    <n v="2.5"/>
    <x v="24"/>
    <x v="91"/>
    <x v="3"/>
    <x v="2"/>
    <x v="1"/>
  </r>
  <r>
    <x v="417"/>
    <x v="161"/>
    <x v="408"/>
    <x v="31"/>
    <n v="2"/>
    <x v="408"/>
    <s v="msesonck@census.gov"/>
    <x v="0"/>
    <x v="3"/>
    <x v="2"/>
    <n v="0.5"/>
    <x v="26"/>
    <x v="42"/>
    <x v="3"/>
    <x v="2"/>
    <x v="1"/>
  </r>
  <r>
    <x v="418"/>
    <x v="129"/>
    <x v="409"/>
    <x v="38"/>
    <n v="4"/>
    <x v="409"/>
    <s v="craglessc7@webmd.com"/>
    <x v="1"/>
    <x v="1"/>
    <x v="1"/>
    <n v="0.5"/>
    <x v="32"/>
    <x v="70"/>
    <x v="1"/>
    <x v="1"/>
    <x v="1"/>
  </r>
  <r>
    <x v="419"/>
    <x v="359"/>
    <x v="410"/>
    <x v="37"/>
    <n v="4"/>
    <x v="410"/>
    <s v="fhollowsc8@blogtalkradio.com"/>
    <x v="0"/>
    <x v="2"/>
    <x v="0"/>
    <n v="2.5"/>
    <x v="31"/>
    <x v="68"/>
    <x v="2"/>
    <x v="0"/>
    <x v="0"/>
  </r>
  <r>
    <x v="420"/>
    <x v="360"/>
    <x v="411"/>
    <x v="45"/>
    <n v="3"/>
    <x v="411"/>
    <s v="llathleiffc9@nationalgeographic.com"/>
    <x v="1"/>
    <x v="1"/>
    <x v="2"/>
    <n v="1"/>
    <x v="37"/>
    <x v="114"/>
    <x v="1"/>
    <x v="2"/>
    <x v="0"/>
  </r>
  <r>
    <x v="421"/>
    <x v="361"/>
    <x v="412"/>
    <x v="35"/>
    <n v="5"/>
    <x v="412"/>
    <s v="kheadsca@jalbum.net"/>
    <x v="0"/>
    <x v="0"/>
    <x v="1"/>
    <n v="0.5"/>
    <x v="30"/>
    <x v="66"/>
    <x v="0"/>
    <x v="1"/>
    <x v="1"/>
  </r>
  <r>
    <x v="422"/>
    <x v="362"/>
    <x v="413"/>
    <x v="46"/>
    <n v="5"/>
    <x v="413"/>
    <s v="tbownecb@unicef.org"/>
    <x v="1"/>
    <x v="1"/>
    <x v="1"/>
    <n v="0.2"/>
    <x v="38"/>
    <x v="110"/>
    <x v="1"/>
    <x v="1"/>
    <x v="0"/>
  </r>
  <r>
    <x v="423"/>
    <x v="363"/>
    <x v="414"/>
    <x v="18"/>
    <n v="6"/>
    <x v="414"/>
    <s v="rjacquemardcc@acquirethisname.com"/>
    <x v="1"/>
    <x v="1"/>
    <x v="0"/>
    <n v="0.2"/>
    <x v="16"/>
    <x v="167"/>
    <x v="1"/>
    <x v="0"/>
    <x v="1"/>
  </r>
  <r>
    <x v="424"/>
    <x v="364"/>
    <x v="415"/>
    <x v="43"/>
    <n v="2"/>
    <x v="415"/>
    <s v="kwarmancd@printfriendly.com"/>
    <x v="1"/>
    <x v="3"/>
    <x v="0"/>
    <n v="2.5"/>
    <x v="36"/>
    <x v="174"/>
    <x v="3"/>
    <x v="0"/>
    <x v="0"/>
  </r>
  <r>
    <x v="425"/>
    <x v="85"/>
    <x v="416"/>
    <x v="22"/>
    <n v="1"/>
    <x v="416"/>
    <s v="wcholomince@about.com"/>
    <x v="2"/>
    <x v="3"/>
    <x v="0"/>
    <n v="0.5"/>
    <x v="19"/>
    <x v="31"/>
    <x v="3"/>
    <x v="0"/>
    <x v="0"/>
  </r>
  <r>
    <x v="426"/>
    <x v="365"/>
    <x v="417"/>
    <x v="8"/>
    <n v="3"/>
    <x v="417"/>
    <s v="abraidmancf@census.gov"/>
    <x v="0"/>
    <x v="0"/>
    <x v="0"/>
    <n v="0.5"/>
    <x v="7"/>
    <x v="8"/>
    <x v="0"/>
    <x v="0"/>
    <x v="1"/>
  </r>
  <r>
    <x v="427"/>
    <x v="366"/>
    <x v="418"/>
    <x v="35"/>
    <n v="1"/>
    <x v="418"/>
    <s v="pdurbancg@symantec.com"/>
    <x v="1"/>
    <x v="0"/>
    <x v="1"/>
    <n v="0.5"/>
    <x v="30"/>
    <x v="53"/>
    <x v="0"/>
    <x v="1"/>
    <x v="1"/>
  </r>
  <r>
    <x v="428"/>
    <x v="367"/>
    <x v="419"/>
    <x v="25"/>
    <n v="2"/>
    <x v="419"/>
    <s v="aharroldch@miibeian.gov.cn"/>
    <x v="0"/>
    <x v="0"/>
    <x v="2"/>
    <n v="0.2"/>
    <x v="22"/>
    <x v="147"/>
    <x v="0"/>
    <x v="2"/>
    <x v="1"/>
  </r>
  <r>
    <x v="429"/>
    <x v="142"/>
    <x v="420"/>
    <x v="7"/>
    <n v="5"/>
    <x v="420"/>
    <s v="spamphilonci@mlb.com"/>
    <x v="1"/>
    <x v="3"/>
    <x v="1"/>
    <n v="0.2"/>
    <x v="6"/>
    <x v="29"/>
    <x v="3"/>
    <x v="1"/>
    <x v="1"/>
  </r>
  <r>
    <x v="430"/>
    <x v="368"/>
    <x v="421"/>
    <x v="11"/>
    <n v="2"/>
    <x v="421"/>
    <s v="mspurdencj@exblog.jp"/>
    <x v="0"/>
    <x v="0"/>
    <x v="2"/>
    <n v="2.5"/>
    <x v="9"/>
    <x v="13"/>
    <x v="0"/>
    <x v="2"/>
    <x v="0"/>
  </r>
  <r>
    <x v="431"/>
    <x v="31"/>
    <x v="408"/>
    <x v="29"/>
    <n v="3"/>
    <x v="408"/>
    <s v="msesonck@census.gov"/>
    <x v="0"/>
    <x v="2"/>
    <x v="1"/>
    <n v="0.2"/>
    <x v="10"/>
    <x v="14"/>
    <x v="2"/>
    <x v="1"/>
    <x v="1"/>
  </r>
  <r>
    <x v="432"/>
    <x v="369"/>
    <x v="422"/>
    <x v="23"/>
    <n v="4"/>
    <x v="422"/>
    <s v="npirronecl@weibo.com"/>
    <x v="0"/>
    <x v="3"/>
    <x v="1"/>
    <n v="0.5"/>
    <x v="20"/>
    <x v="82"/>
    <x v="3"/>
    <x v="1"/>
    <x v="1"/>
  </r>
  <r>
    <x v="433"/>
    <x v="370"/>
    <x v="423"/>
    <x v="11"/>
    <n v="4"/>
    <x v="423"/>
    <s v="rcawleycm@yellowbook.com"/>
    <x v="1"/>
    <x v="0"/>
    <x v="2"/>
    <n v="2.5"/>
    <x v="9"/>
    <x v="18"/>
    <x v="0"/>
    <x v="2"/>
    <x v="0"/>
  </r>
  <r>
    <x v="434"/>
    <x v="371"/>
    <x v="424"/>
    <x v="7"/>
    <n v="2"/>
    <x v="424"/>
    <s v="sbarribalcn@microsoft.com"/>
    <x v="1"/>
    <x v="3"/>
    <x v="1"/>
    <n v="0.2"/>
    <x v="6"/>
    <x v="54"/>
    <x v="3"/>
    <x v="1"/>
    <x v="0"/>
  </r>
  <r>
    <x v="435"/>
    <x v="372"/>
    <x v="425"/>
    <x v="11"/>
    <n v="2"/>
    <x v="425"/>
    <s v="aadamidesco@bizjournals.com"/>
    <x v="2"/>
    <x v="0"/>
    <x v="2"/>
    <n v="2.5"/>
    <x v="9"/>
    <x v="13"/>
    <x v="0"/>
    <x v="2"/>
    <x v="1"/>
  </r>
  <r>
    <x v="436"/>
    <x v="373"/>
    <x v="426"/>
    <x v="23"/>
    <n v="5"/>
    <x v="426"/>
    <s v="cthowescp@craigslist.org"/>
    <x v="0"/>
    <x v="3"/>
    <x v="1"/>
    <n v="0.5"/>
    <x v="20"/>
    <x v="46"/>
    <x v="3"/>
    <x v="1"/>
    <x v="1"/>
  </r>
  <r>
    <x v="437"/>
    <x v="374"/>
    <x v="427"/>
    <x v="17"/>
    <n v="4"/>
    <x v="427"/>
    <s v="rwillowaycq@admin.ch"/>
    <x v="0"/>
    <x v="2"/>
    <x v="0"/>
    <n v="1"/>
    <x v="15"/>
    <x v="157"/>
    <x v="2"/>
    <x v="0"/>
    <x v="1"/>
  </r>
  <r>
    <x v="438"/>
    <x v="319"/>
    <x v="428"/>
    <x v="7"/>
    <n v="5"/>
    <x v="428"/>
    <s v="aelwincr@privacy.gov.au"/>
    <x v="0"/>
    <x v="3"/>
    <x v="1"/>
    <n v="0.2"/>
    <x v="6"/>
    <x v="29"/>
    <x v="3"/>
    <x v="1"/>
    <x v="1"/>
  </r>
  <r>
    <x v="439"/>
    <x v="375"/>
    <x v="429"/>
    <x v="34"/>
    <n v="3"/>
    <x v="429"/>
    <s v="abilbrookcs@booking.com"/>
    <x v="1"/>
    <x v="0"/>
    <x v="2"/>
    <n v="0.5"/>
    <x v="29"/>
    <x v="103"/>
    <x v="0"/>
    <x v="2"/>
    <x v="0"/>
  </r>
  <r>
    <x v="440"/>
    <x v="376"/>
    <x v="430"/>
    <x v="25"/>
    <n v="4"/>
    <x v="430"/>
    <s v="rmckallct@sakura.ne.jp"/>
    <x v="2"/>
    <x v="0"/>
    <x v="2"/>
    <n v="0.2"/>
    <x v="22"/>
    <x v="175"/>
    <x v="0"/>
    <x v="2"/>
    <x v="0"/>
  </r>
  <r>
    <x v="441"/>
    <x v="377"/>
    <x v="431"/>
    <x v="9"/>
    <n v="5"/>
    <x v="431"/>
    <s v="bdailecu@vistaprint.com"/>
    <x v="0"/>
    <x v="2"/>
    <x v="2"/>
    <n v="1"/>
    <x v="0"/>
    <x v="12"/>
    <x v="2"/>
    <x v="2"/>
    <x v="0"/>
  </r>
  <r>
    <x v="442"/>
    <x v="378"/>
    <x v="432"/>
    <x v="3"/>
    <n v="2"/>
    <x v="432"/>
    <s v="atrehernecv@state.tx.us"/>
    <x v="1"/>
    <x v="1"/>
    <x v="0"/>
    <n v="1"/>
    <x v="3"/>
    <x v="3"/>
    <x v="1"/>
    <x v="0"/>
    <x v="1"/>
  </r>
  <r>
    <x v="443"/>
    <x v="277"/>
    <x v="433"/>
    <x v="27"/>
    <n v="4"/>
    <x v="433"/>
    <s v="abrentnallcw@biglobe.ne.jp"/>
    <x v="2"/>
    <x v="3"/>
    <x v="2"/>
    <n v="2.5"/>
    <x v="24"/>
    <x v="129"/>
    <x v="3"/>
    <x v="2"/>
    <x v="1"/>
  </r>
  <r>
    <x v="444"/>
    <x v="379"/>
    <x v="434"/>
    <x v="11"/>
    <n v="1"/>
    <x v="434"/>
    <s v="ddrinkallcx@psu.edu"/>
    <x v="0"/>
    <x v="0"/>
    <x v="2"/>
    <n v="2.5"/>
    <x v="9"/>
    <x v="123"/>
    <x v="0"/>
    <x v="2"/>
    <x v="0"/>
  </r>
  <r>
    <x v="445"/>
    <x v="86"/>
    <x v="435"/>
    <x v="16"/>
    <n v="3"/>
    <x v="435"/>
    <s v="dkornelcy@cyberchimps.com"/>
    <x v="0"/>
    <x v="2"/>
    <x v="2"/>
    <n v="0.2"/>
    <x v="14"/>
    <x v="169"/>
    <x v="2"/>
    <x v="2"/>
    <x v="0"/>
  </r>
  <r>
    <x v="446"/>
    <x v="380"/>
    <x v="436"/>
    <x v="20"/>
    <n v="1"/>
    <x v="436"/>
    <s v="rlequeuxcz@newyorker.com"/>
    <x v="0"/>
    <x v="2"/>
    <x v="2"/>
    <n v="0.5"/>
    <x v="7"/>
    <x v="9"/>
    <x v="2"/>
    <x v="2"/>
    <x v="1"/>
  </r>
  <r>
    <x v="447"/>
    <x v="381"/>
    <x v="437"/>
    <x v="3"/>
    <n v="3"/>
    <x v="437"/>
    <s v="jmccaulld0@parallels.com"/>
    <x v="0"/>
    <x v="1"/>
    <x v="0"/>
    <n v="1"/>
    <x v="3"/>
    <x v="1"/>
    <x v="1"/>
    <x v="0"/>
    <x v="0"/>
  </r>
  <r>
    <x v="448"/>
    <x v="382"/>
    <x v="438"/>
    <x v="46"/>
    <n v="5"/>
    <x v="438"/>
    <s v="abrashda@plala.or.jp"/>
    <x v="0"/>
    <x v="1"/>
    <x v="1"/>
    <n v="0.2"/>
    <x v="38"/>
    <x v="110"/>
    <x v="1"/>
    <x v="1"/>
    <x v="0"/>
  </r>
  <r>
    <x v="449"/>
    <x v="11"/>
    <x v="439"/>
    <x v="19"/>
    <n v="1"/>
    <x v="439"/>
    <s v="ahutchinsond2@imgur.com"/>
    <x v="0"/>
    <x v="2"/>
    <x v="0"/>
    <n v="0.5"/>
    <x v="17"/>
    <x v="52"/>
    <x v="2"/>
    <x v="0"/>
    <x v="0"/>
  </r>
  <r>
    <x v="450"/>
    <x v="167"/>
    <x v="440"/>
    <x v="43"/>
    <n v="4"/>
    <x v="440"/>
    <s v=""/>
    <x v="0"/>
    <x v="3"/>
    <x v="0"/>
    <n v="2.5"/>
    <x v="36"/>
    <x v="136"/>
    <x v="3"/>
    <x v="0"/>
    <x v="0"/>
  </r>
  <r>
    <x v="451"/>
    <x v="383"/>
    <x v="441"/>
    <x v="16"/>
    <n v="2"/>
    <x v="441"/>
    <s v="rdriversd4@hexun.com"/>
    <x v="0"/>
    <x v="2"/>
    <x v="2"/>
    <n v="0.2"/>
    <x v="14"/>
    <x v="9"/>
    <x v="2"/>
    <x v="2"/>
    <x v="1"/>
  </r>
  <r>
    <x v="452"/>
    <x v="18"/>
    <x v="442"/>
    <x v="2"/>
    <n v="2"/>
    <x v="442"/>
    <s v="hzeald5@google.de"/>
    <x v="0"/>
    <x v="2"/>
    <x v="1"/>
    <n v="1"/>
    <x v="2"/>
    <x v="109"/>
    <x v="2"/>
    <x v="1"/>
    <x v="1"/>
  </r>
  <r>
    <x v="453"/>
    <x v="84"/>
    <x v="443"/>
    <x v="28"/>
    <n v="1"/>
    <x v="443"/>
    <s v="gsmallcombed6@ucla.edu"/>
    <x v="1"/>
    <x v="1"/>
    <x v="0"/>
    <n v="2.5"/>
    <x v="25"/>
    <x v="176"/>
    <x v="1"/>
    <x v="0"/>
    <x v="0"/>
  </r>
  <r>
    <x v="454"/>
    <x v="384"/>
    <x v="444"/>
    <x v="21"/>
    <n v="2"/>
    <x v="444"/>
    <s v="ddibleyd7@feedburner.com"/>
    <x v="0"/>
    <x v="3"/>
    <x v="0"/>
    <n v="0.2"/>
    <x v="18"/>
    <x v="31"/>
    <x v="3"/>
    <x v="0"/>
    <x v="1"/>
  </r>
  <r>
    <x v="455"/>
    <x v="385"/>
    <x v="445"/>
    <x v="46"/>
    <n v="6"/>
    <x v="445"/>
    <s v="gdimitrioud8@chronoengine.com"/>
    <x v="0"/>
    <x v="1"/>
    <x v="1"/>
    <n v="0.2"/>
    <x v="38"/>
    <x v="149"/>
    <x v="1"/>
    <x v="1"/>
    <x v="0"/>
  </r>
  <r>
    <x v="456"/>
    <x v="386"/>
    <x v="446"/>
    <x v="21"/>
    <n v="6"/>
    <x v="446"/>
    <s v="fflanagand9@woothemes.com"/>
    <x v="0"/>
    <x v="3"/>
    <x v="0"/>
    <n v="0.2"/>
    <x v="18"/>
    <x v="50"/>
    <x v="3"/>
    <x v="0"/>
    <x v="1"/>
  </r>
  <r>
    <x v="457"/>
    <x v="387"/>
    <x v="438"/>
    <x v="39"/>
    <n v="6"/>
    <x v="438"/>
    <s v="abrashda@plala.or.jp"/>
    <x v="0"/>
    <x v="0"/>
    <x v="2"/>
    <n v="1"/>
    <x v="33"/>
    <x v="59"/>
    <x v="0"/>
    <x v="2"/>
    <x v="0"/>
  </r>
  <r>
    <x v="457"/>
    <x v="387"/>
    <x v="438"/>
    <x v="28"/>
    <n v="4"/>
    <x v="438"/>
    <s v="abrashda@plala.or.jp"/>
    <x v="0"/>
    <x v="1"/>
    <x v="0"/>
    <n v="2.5"/>
    <x v="25"/>
    <x v="177"/>
    <x v="1"/>
    <x v="0"/>
    <x v="0"/>
  </r>
  <r>
    <x v="457"/>
    <x v="387"/>
    <x v="438"/>
    <x v="18"/>
    <n v="1"/>
    <x v="438"/>
    <s v="abrashda@plala.or.jp"/>
    <x v="0"/>
    <x v="1"/>
    <x v="0"/>
    <n v="0.2"/>
    <x v="16"/>
    <x v="83"/>
    <x v="1"/>
    <x v="0"/>
    <x v="0"/>
  </r>
  <r>
    <x v="458"/>
    <x v="388"/>
    <x v="447"/>
    <x v="41"/>
    <n v="2"/>
    <x v="447"/>
    <s v="nizhakovdd@aol.com"/>
    <x v="2"/>
    <x v="0"/>
    <x v="1"/>
    <n v="1"/>
    <x v="35"/>
    <x v="178"/>
    <x v="0"/>
    <x v="1"/>
    <x v="1"/>
  </r>
  <r>
    <x v="459"/>
    <x v="389"/>
    <x v="448"/>
    <x v="47"/>
    <n v="5"/>
    <x v="448"/>
    <s v="skeetsde@answers.com"/>
    <x v="0"/>
    <x v="1"/>
    <x v="2"/>
    <n v="2.5"/>
    <x v="39"/>
    <x v="141"/>
    <x v="1"/>
    <x v="2"/>
    <x v="0"/>
  </r>
  <r>
    <x v="460"/>
    <x v="229"/>
    <x v="449"/>
    <x v="27"/>
    <n v="2"/>
    <x v="449"/>
    <s v=""/>
    <x v="0"/>
    <x v="3"/>
    <x v="2"/>
    <n v="2.5"/>
    <x v="24"/>
    <x v="120"/>
    <x v="3"/>
    <x v="2"/>
    <x v="0"/>
  </r>
  <r>
    <x v="461"/>
    <x v="390"/>
    <x v="450"/>
    <x v="23"/>
    <n v="6"/>
    <x v="450"/>
    <s v="kcakedg@huffingtonpost.com"/>
    <x v="0"/>
    <x v="3"/>
    <x v="1"/>
    <n v="0.5"/>
    <x v="20"/>
    <x v="30"/>
    <x v="3"/>
    <x v="1"/>
    <x v="1"/>
  </r>
  <r>
    <x v="462"/>
    <x v="391"/>
    <x v="451"/>
    <x v="40"/>
    <n v="6"/>
    <x v="451"/>
    <s v="mhanseddh@instagram.com"/>
    <x v="1"/>
    <x v="0"/>
    <x v="1"/>
    <n v="0.2"/>
    <x v="34"/>
    <x v="137"/>
    <x v="0"/>
    <x v="1"/>
    <x v="0"/>
  </r>
  <r>
    <x v="463"/>
    <x v="117"/>
    <x v="452"/>
    <x v="22"/>
    <n v="6"/>
    <x v="452"/>
    <s v="fkienleindi@trellian.com"/>
    <x v="1"/>
    <x v="3"/>
    <x v="0"/>
    <n v="0.5"/>
    <x v="19"/>
    <x v="28"/>
    <x v="3"/>
    <x v="0"/>
    <x v="0"/>
  </r>
  <r>
    <x v="464"/>
    <x v="392"/>
    <x v="453"/>
    <x v="45"/>
    <n v="6"/>
    <x v="453"/>
    <s v="kegglestonedj@sphinn.com"/>
    <x v="1"/>
    <x v="1"/>
    <x v="2"/>
    <n v="1"/>
    <x v="37"/>
    <x v="118"/>
    <x v="1"/>
    <x v="2"/>
    <x v="1"/>
  </r>
  <r>
    <x v="465"/>
    <x v="393"/>
    <x v="454"/>
    <x v="36"/>
    <n v="5"/>
    <x v="454"/>
    <s v="bsemkinsdk@unc.edu"/>
    <x v="1"/>
    <x v="0"/>
    <x v="0"/>
    <n v="0.2"/>
    <x v="14"/>
    <x v="128"/>
    <x v="0"/>
    <x v="0"/>
    <x v="0"/>
  </r>
  <r>
    <x v="466"/>
    <x v="394"/>
    <x v="455"/>
    <x v="32"/>
    <n v="6"/>
    <x v="455"/>
    <s v="slorenzettidl@is.gd"/>
    <x v="0"/>
    <x v="3"/>
    <x v="1"/>
    <n v="1"/>
    <x v="27"/>
    <x v="179"/>
    <x v="3"/>
    <x v="1"/>
    <x v="1"/>
  </r>
  <r>
    <x v="467"/>
    <x v="137"/>
    <x v="456"/>
    <x v="31"/>
    <n v="2"/>
    <x v="456"/>
    <s v="bgiannazzidm@apple.com"/>
    <x v="0"/>
    <x v="3"/>
    <x v="2"/>
    <n v="0.5"/>
    <x v="26"/>
    <x v="42"/>
    <x v="3"/>
    <x v="2"/>
    <x v="1"/>
  </r>
  <r>
    <x v="468"/>
    <x v="395"/>
    <x v="457"/>
    <x v="12"/>
    <n v="6"/>
    <x v="457"/>
    <s v=""/>
    <x v="0"/>
    <x v="3"/>
    <x v="2"/>
    <n v="0.2"/>
    <x v="10"/>
    <x v="102"/>
    <x v="3"/>
    <x v="2"/>
    <x v="1"/>
  </r>
  <r>
    <x v="469"/>
    <x v="396"/>
    <x v="458"/>
    <x v="18"/>
    <n v="1"/>
    <x v="458"/>
    <s v="ulethbrigdo@hc360.com"/>
    <x v="0"/>
    <x v="1"/>
    <x v="0"/>
    <n v="0.2"/>
    <x v="16"/>
    <x v="83"/>
    <x v="1"/>
    <x v="0"/>
    <x v="0"/>
  </r>
  <r>
    <x v="470"/>
    <x v="189"/>
    <x v="459"/>
    <x v="8"/>
    <n v="6"/>
    <x v="459"/>
    <s v="sfarnishdp@dmoz.org"/>
    <x v="2"/>
    <x v="0"/>
    <x v="0"/>
    <n v="0.5"/>
    <x v="7"/>
    <x v="27"/>
    <x v="0"/>
    <x v="0"/>
    <x v="1"/>
  </r>
  <r>
    <x v="471"/>
    <x v="8"/>
    <x v="460"/>
    <x v="32"/>
    <n v="2"/>
    <x v="460"/>
    <s v="fjecockdq@unicef.org"/>
    <x v="0"/>
    <x v="3"/>
    <x v="1"/>
    <n v="1"/>
    <x v="27"/>
    <x v="124"/>
    <x v="3"/>
    <x v="1"/>
    <x v="1"/>
  </r>
  <r>
    <x v="472"/>
    <x v="397"/>
    <x v="461"/>
    <x v="32"/>
    <n v="5"/>
    <x v="461"/>
    <s v=""/>
    <x v="0"/>
    <x v="3"/>
    <x v="1"/>
    <n v="1"/>
    <x v="27"/>
    <x v="180"/>
    <x v="3"/>
    <x v="1"/>
    <x v="0"/>
  </r>
  <r>
    <x v="473"/>
    <x v="398"/>
    <x v="462"/>
    <x v="15"/>
    <n v="3"/>
    <x v="462"/>
    <s v="hpallisterds@ning.com"/>
    <x v="0"/>
    <x v="1"/>
    <x v="2"/>
    <n v="0.2"/>
    <x v="13"/>
    <x v="47"/>
    <x v="1"/>
    <x v="2"/>
    <x v="1"/>
  </r>
  <r>
    <x v="474"/>
    <x v="399"/>
    <x v="463"/>
    <x v="9"/>
    <n v="4"/>
    <x v="463"/>
    <s v="cmershdt@drupal.org"/>
    <x v="1"/>
    <x v="2"/>
    <x v="2"/>
    <n v="1"/>
    <x v="0"/>
    <x v="10"/>
    <x v="2"/>
    <x v="2"/>
    <x v="1"/>
  </r>
  <r>
    <x v="475"/>
    <x v="400"/>
    <x v="464"/>
    <x v="0"/>
    <n v="5"/>
    <x v="464"/>
    <s v="murione5@alexa.com"/>
    <x v="1"/>
    <x v="0"/>
    <x v="0"/>
    <n v="1"/>
    <x v="0"/>
    <x v="12"/>
    <x v="0"/>
    <x v="0"/>
    <x v="0"/>
  </r>
  <r>
    <x v="476"/>
    <x v="401"/>
    <x v="465"/>
    <x v="25"/>
    <n v="3"/>
    <x v="465"/>
    <s v=""/>
    <x v="1"/>
    <x v="0"/>
    <x v="2"/>
    <n v="0.2"/>
    <x v="22"/>
    <x v="36"/>
    <x v="0"/>
    <x v="2"/>
    <x v="0"/>
  </r>
  <r>
    <x v="477"/>
    <x v="402"/>
    <x v="466"/>
    <x v="41"/>
    <n v="4"/>
    <x v="466"/>
    <s v=""/>
    <x v="0"/>
    <x v="0"/>
    <x v="1"/>
    <n v="1"/>
    <x v="35"/>
    <x v="62"/>
    <x v="0"/>
    <x v="1"/>
    <x v="1"/>
  </r>
  <r>
    <x v="478"/>
    <x v="6"/>
    <x v="467"/>
    <x v="36"/>
    <n v="4"/>
    <x v="467"/>
    <s v="gduckerdx@patch.com"/>
    <x v="2"/>
    <x v="0"/>
    <x v="0"/>
    <n v="0.2"/>
    <x v="14"/>
    <x v="22"/>
    <x v="0"/>
    <x v="0"/>
    <x v="1"/>
  </r>
  <r>
    <x v="478"/>
    <x v="6"/>
    <x v="467"/>
    <x v="18"/>
    <n v="4"/>
    <x v="467"/>
    <s v="gduckerdx@patch.com"/>
    <x v="2"/>
    <x v="1"/>
    <x v="0"/>
    <n v="0.2"/>
    <x v="16"/>
    <x v="38"/>
    <x v="1"/>
    <x v="0"/>
    <x v="1"/>
  </r>
  <r>
    <x v="478"/>
    <x v="6"/>
    <x v="467"/>
    <x v="5"/>
    <n v="4"/>
    <x v="467"/>
    <s v="gduckerdx@patch.com"/>
    <x v="2"/>
    <x v="3"/>
    <x v="2"/>
    <n v="1"/>
    <x v="2"/>
    <x v="67"/>
    <x v="3"/>
    <x v="2"/>
    <x v="1"/>
  </r>
  <r>
    <x v="478"/>
    <x v="6"/>
    <x v="467"/>
    <x v="7"/>
    <n v="3"/>
    <x v="467"/>
    <s v="gduckerdx@patch.com"/>
    <x v="2"/>
    <x v="3"/>
    <x v="1"/>
    <n v="0.2"/>
    <x v="6"/>
    <x v="181"/>
    <x v="3"/>
    <x v="1"/>
    <x v="1"/>
  </r>
  <r>
    <x v="479"/>
    <x v="403"/>
    <x v="468"/>
    <x v="21"/>
    <n v="6"/>
    <x v="468"/>
    <s v="wstearleye1@census.gov"/>
    <x v="0"/>
    <x v="3"/>
    <x v="0"/>
    <n v="0.2"/>
    <x v="18"/>
    <x v="50"/>
    <x v="3"/>
    <x v="0"/>
    <x v="1"/>
  </r>
  <r>
    <x v="480"/>
    <x v="404"/>
    <x v="469"/>
    <x v="2"/>
    <n v="2"/>
    <x v="469"/>
    <s v="dwincere2@marriott.com"/>
    <x v="0"/>
    <x v="2"/>
    <x v="1"/>
    <n v="1"/>
    <x v="2"/>
    <x v="109"/>
    <x v="2"/>
    <x v="1"/>
    <x v="0"/>
  </r>
  <r>
    <x v="481"/>
    <x v="21"/>
    <x v="470"/>
    <x v="44"/>
    <n v="3"/>
    <x v="470"/>
    <s v="plyfielde3@baidu.com"/>
    <x v="0"/>
    <x v="2"/>
    <x v="1"/>
    <n v="2.5"/>
    <x v="24"/>
    <x v="49"/>
    <x v="2"/>
    <x v="1"/>
    <x v="0"/>
  </r>
  <r>
    <x v="482"/>
    <x v="239"/>
    <x v="471"/>
    <x v="31"/>
    <n v="6"/>
    <x v="471"/>
    <s v="hperrise4@studiopress.com"/>
    <x v="1"/>
    <x v="3"/>
    <x v="2"/>
    <n v="0.5"/>
    <x v="26"/>
    <x v="162"/>
    <x v="3"/>
    <x v="2"/>
    <x v="1"/>
  </r>
  <r>
    <x v="483"/>
    <x v="405"/>
    <x v="464"/>
    <x v="9"/>
    <n v="3"/>
    <x v="464"/>
    <s v="murione5@alexa.com"/>
    <x v="1"/>
    <x v="2"/>
    <x v="2"/>
    <n v="1"/>
    <x v="0"/>
    <x v="44"/>
    <x v="2"/>
    <x v="2"/>
    <x v="0"/>
  </r>
  <r>
    <x v="484"/>
    <x v="292"/>
    <x v="472"/>
    <x v="40"/>
    <n v="3"/>
    <x v="472"/>
    <s v="ckide6@narod.ru"/>
    <x v="1"/>
    <x v="0"/>
    <x v="1"/>
    <n v="0.2"/>
    <x v="34"/>
    <x v="127"/>
    <x v="0"/>
    <x v="1"/>
    <x v="0"/>
  </r>
  <r>
    <x v="485"/>
    <x v="117"/>
    <x v="473"/>
    <x v="14"/>
    <n v="4"/>
    <x v="473"/>
    <s v="cbeinee7@xinhuanet.com"/>
    <x v="0"/>
    <x v="2"/>
    <x v="0"/>
    <n v="0.2"/>
    <x v="12"/>
    <x v="72"/>
    <x v="2"/>
    <x v="0"/>
    <x v="0"/>
  </r>
  <r>
    <x v="486"/>
    <x v="406"/>
    <x v="474"/>
    <x v="32"/>
    <n v="3"/>
    <x v="474"/>
    <s v="cbakeupe8@globo.com"/>
    <x v="0"/>
    <x v="3"/>
    <x v="1"/>
    <n v="1"/>
    <x v="27"/>
    <x v="46"/>
    <x v="3"/>
    <x v="1"/>
    <x v="1"/>
  </r>
  <r>
    <x v="487"/>
    <x v="407"/>
    <x v="475"/>
    <x v="32"/>
    <n v="5"/>
    <x v="475"/>
    <s v="nhelkine9@example.com"/>
    <x v="0"/>
    <x v="3"/>
    <x v="1"/>
    <n v="1"/>
    <x v="27"/>
    <x v="180"/>
    <x v="3"/>
    <x v="1"/>
    <x v="1"/>
  </r>
  <r>
    <x v="488"/>
    <x v="408"/>
    <x v="476"/>
    <x v="21"/>
    <n v="6"/>
    <x v="476"/>
    <s v="pwitheringtonea@networkadvertising.org"/>
    <x v="0"/>
    <x v="3"/>
    <x v="0"/>
    <n v="0.2"/>
    <x v="18"/>
    <x v="50"/>
    <x v="3"/>
    <x v="0"/>
    <x v="0"/>
  </r>
  <r>
    <x v="489"/>
    <x v="409"/>
    <x v="477"/>
    <x v="35"/>
    <n v="3"/>
    <x v="477"/>
    <s v="ttilzeyeb@hostgator.com"/>
    <x v="0"/>
    <x v="0"/>
    <x v="1"/>
    <n v="0.5"/>
    <x v="30"/>
    <x v="137"/>
    <x v="0"/>
    <x v="1"/>
    <x v="1"/>
  </r>
  <r>
    <x v="490"/>
    <x v="410"/>
    <x v="478"/>
    <x v="11"/>
    <n v="5"/>
    <x v="478"/>
    <s v=""/>
    <x v="0"/>
    <x v="0"/>
    <x v="2"/>
    <n v="2.5"/>
    <x v="9"/>
    <x v="182"/>
    <x v="0"/>
    <x v="2"/>
    <x v="0"/>
  </r>
  <r>
    <x v="491"/>
    <x v="127"/>
    <x v="479"/>
    <x v="12"/>
    <n v="2"/>
    <x v="479"/>
    <s v=""/>
    <x v="0"/>
    <x v="3"/>
    <x v="2"/>
    <n v="0.2"/>
    <x v="10"/>
    <x v="41"/>
    <x v="3"/>
    <x v="2"/>
    <x v="1"/>
  </r>
  <r>
    <x v="492"/>
    <x v="411"/>
    <x v="480"/>
    <x v="47"/>
    <n v="5"/>
    <x v="480"/>
    <s v="kimortsee@alexa.com"/>
    <x v="0"/>
    <x v="1"/>
    <x v="2"/>
    <n v="2.5"/>
    <x v="39"/>
    <x v="141"/>
    <x v="1"/>
    <x v="2"/>
    <x v="1"/>
  </r>
  <r>
    <x v="493"/>
    <x v="112"/>
    <x v="464"/>
    <x v="20"/>
    <n v="2"/>
    <x v="464"/>
    <s v="murione5@alexa.com"/>
    <x v="1"/>
    <x v="2"/>
    <x v="2"/>
    <n v="0.5"/>
    <x v="7"/>
    <x v="22"/>
    <x v="2"/>
    <x v="2"/>
    <x v="0"/>
  </r>
  <r>
    <x v="494"/>
    <x v="412"/>
    <x v="481"/>
    <x v="12"/>
    <n v="1"/>
    <x v="481"/>
    <s v="marmisteadeg@blogtalkradio.com"/>
    <x v="0"/>
    <x v="3"/>
    <x v="2"/>
    <n v="0.2"/>
    <x v="10"/>
    <x v="84"/>
    <x v="3"/>
    <x v="2"/>
    <x v="1"/>
  </r>
  <r>
    <x v="494"/>
    <x v="412"/>
    <x v="481"/>
    <x v="0"/>
    <n v="4"/>
    <x v="481"/>
    <s v="marmisteadeg@blogtalkradio.com"/>
    <x v="0"/>
    <x v="0"/>
    <x v="0"/>
    <n v="1"/>
    <x v="0"/>
    <x v="10"/>
    <x v="0"/>
    <x v="0"/>
    <x v="1"/>
  </r>
  <r>
    <x v="495"/>
    <x v="413"/>
    <x v="482"/>
    <x v="8"/>
    <n v="5"/>
    <x v="482"/>
    <s v="vupstoneei@google.pl"/>
    <x v="0"/>
    <x v="0"/>
    <x v="0"/>
    <n v="0.5"/>
    <x v="7"/>
    <x v="44"/>
    <x v="0"/>
    <x v="0"/>
    <x v="1"/>
  </r>
  <r>
    <x v="496"/>
    <x v="414"/>
    <x v="483"/>
    <x v="27"/>
    <n v="1"/>
    <x v="483"/>
    <s v="bbeelbyej@rediff.com"/>
    <x v="1"/>
    <x v="3"/>
    <x v="2"/>
    <n v="2.5"/>
    <x v="24"/>
    <x v="91"/>
    <x v="3"/>
    <x v="2"/>
    <x v="1"/>
  </r>
  <r>
    <x v="497"/>
    <x v="415"/>
    <x v="484"/>
    <x v="26"/>
    <n v="2"/>
    <x v="484"/>
    <s v=""/>
    <x v="0"/>
    <x v="3"/>
    <x v="1"/>
    <n v="2.5"/>
    <x v="23"/>
    <x v="37"/>
    <x v="3"/>
    <x v="1"/>
    <x v="1"/>
  </r>
  <r>
    <x v="498"/>
    <x v="416"/>
    <x v="485"/>
    <x v="25"/>
    <n v="5"/>
    <x v="485"/>
    <s v=""/>
    <x v="0"/>
    <x v="0"/>
    <x v="2"/>
    <n v="0.2"/>
    <x v="22"/>
    <x v="148"/>
    <x v="0"/>
    <x v="2"/>
    <x v="0"/>
  </r>
  <r>
    <x v="499"/>
    <x v="417"/>
    <x v="486"/>
    <x v="28"/>
    <n v="4"/>
    <x v="486"/>
    <s v="wspeechlyem@amazon.com"/>
    <x v="0"/>
    <x v="1"/>
    <x v="0"/>
    <n v="2.5"/>
    <x v="25"/>
    <x v="177"/>
    <x v="1"/>
    <x v="0"/>
    <x v="0"/>
  </r>
  <r>
    <x v="500"/>
    <x v="418"/>
    <x v="487"/>
    <x v="1"/>
    <n v="5"/>
    <x v="487"/>
    <s v="iphillpoten@buzzfeed.com"/>
    <x v="2"/>
    <x v="1"/>
    <x v="0"/>
    <n v="0.5"/>
    <x v="1"/>
    <x v="1"/>
    <x v="1"/>
    <x v="0"/>
    <x v="1"/>
  </r>
  <r>
    <x v="501"/>
    <x v="419"/>
    <x v="488"/>
    <x v="38"/>
    <n v="6"/>
    <x v="488"/>
    <s v="lpennaccieo@statcounter.com"/>
    <x v="0"/>
    <x v="1"/>
    <x v="1"/>
    <n v="0.5"/>
    <x v="32"/>
    <x v="119"/>
    <x v="1"/>
    <x v="1"/>
    <x v="1"/>
  </r>
  <r>
    <x v="502"/>
    <x v="420"/>
    <x v="489"/>
    <x v="0"/>
    <n v="6"/>
    <x v="489"/>
    <s v="sarpinep@moonfruit.com"/>
    <x v="0"/>
    <x v="0"/>
    <x v="0"/>
    <n v="1"/>
    <x v="0"/>
    <x v="33"/>
    <x v="0"/>
    <x v="0"/>
    <x v="1"/>
  </r>
  <r>
    <x v="503"/>
    <x v="421"/>
    <x v="490"/>
    <x v="0"/>
    <n v="6"/>
    <x v="490"/>
    <s v="dfrieseq@cargocollective.com"/>
    <x v="0"/>
    <x v="0"/>
    <x v="0"/>
    <n v="1"/>
    <x v="0"/>
    <x v="33"/>
    <x v="0"/>
    <x v="0"/>
    <x v="1"/>
  </r>
  <r>
    <x v="504"/>
    <x v="422"/>
    <x v="491"/>
    <x v="39"/>
    <n v="5"/>
    <x v="491"/>
    <s v="rsharerer@flavors.me"/>
    <x v="0"/>
    <x v="0"/>
    <x v="2"/>
    <n v="1"/>
    <x v="33"/>
    <x v="153"/>
    <x v="0"/>
    <x v="2"/>
    <x v="1"/>
  </r>
  <r>
    <x v="505"/>
    <x v="423"/>
    <x v="492"/>
    <x v="1"/>
    <n v="2"/>
    <x v="492"/>
    <s v="nnasebyes@umich.edu"/>
    <x v="0"/>
    <x v="1"/>
    <x v="0"/>
    <n v="0.5"/>
    <x v="1"/>
    <x v="38"/>
    <x v="1"/>
    <x v="0"/>
    <x v="0"/>
  </r>
  <r>
    <x v="506"/>
    <x v="109"/>
    <x v="493"/>
    <x v="34"/>
    <n v="4"/>
    <x v="493"/>
    <s v=""/>
    <x v="0"/>
    <x v="0"/>
    <x v="2"/>
    <n v="0.5"/>
    <x v="29"/>
    <x v="155"/>
    <x v="0"/>
    <x v="2"/>
    <x v="1"/>
  </r>
  <r>
    <x v="507"/>
    <x v="204"/>
    <x v="494"/>
    <x v="13"/>
    <n v="2"/>
    <x v="494"/>
    <s v="koculleneu@ca.gov"/>
    <x v="1"/>
    <x v="0"/>
    <x v="0"/>
    <n v="2.5"/>
    <x v="11"/>
    <x v="135"/>
    <x v="0"/>
    <x v="0"/>
    <x v="0"/>
  </r>
  <r>
    <x v="508"/>
    <x v="424"/>
    <x v="495"/>
    <x v="7"/>
    <n v="2"/>
    <x v="495"/>
    <s v=""/>
    <x v="1"/>
    <x v="3"/>
    <x v="1"/>
    <n v="0.2"/>
    <x v="6"/>
    <x v="54"/>
    <x v="3"/>
    <x v="1"/>
    <x v="1"/>
  </r>
  <r>
    <x v="509"/>
    <x v="13"/>
    <x v="464"/>
    <x v="25"/>
    <n v="3"/>
    <x v="464"/>
    <s v="murione5@alexa.com"/>
    <x v="1"/>
    <x v="0"/>
    <x v="2"/>
    <n v="0.2"/>
    <x v="22"/>
    <x v="36"/>
    <x v="0"/>
    <x v="2"/>
    <x v="0"/>
  </r>
  <r>
    <x v="510"/>
    <x v="224"/>
    <x v="496"/>
    <x v="47"/>
    <n v="4"/>
    <x v="496"/>
    <s v="hbranganex@woothemes.com"/>
    <x v="0"/>
    <x v="1"/>
    <x v="2"/>
    <n v="2.5"/>
    <x v="39"/>
    <x v="150"/>
    <x v="1"/>
    <x v="2"/>
    <x v="0"/>
  </r>
  <r>
    <x v="511"/>
    <x v="220"/>
    <x v="497"/>
    <x v="25"/>
    <n v="4"/>
    <x v="497"/>
    <s v="agallyoney@engadget.com"/>
    <x v="0"/>
    <x v="0"/>
    <x v="2"/>
    <n v="0.2"/>
    <x v="22"/>
    <x v="175"/>
    <x v="0"/>
    <x v="2"/>
    <x v="0"/>
  </r>
  <r>
    <x v="512"/>
    <x v="91"/>
    <x v="498"/>
    <x v="34"/>
    <n v="5"/>
    <x v="498"/>
    <s v="bdomangeez@yahoo.co.jp"/>
    <x v="0"/>
    <x v="0"/>
    <x v="2"/>
    <n v="0.5"/>
    <x v="29"/>
    <x v="51"/>
    <x v="0"/>
    <x v="2"/>
    <x v="1"/>
  </r>
  <r>
    <x v="513"/>
    <x v="425"/>
    <x v="499"/>
    <x v="32"/>
    <n v="4"/>
    <x v="499"/>
    <s v="koslerf0@gmpg.org"/>
    <x v="0"/>
    <x v="3"/>
    <x v="1"/>
    <n v="1"/>
    <x v="27"/>
    <x v="165"/>
    <x v="3"/>
    <x v="1"/>
    <x v="0"/>
  </r>
  <r>
    <x v="514"/>
    <x v="426"/>
    <x v="500"/>
    <x v="30"/>
    <n v="1"/>
    <x v="500"/>
    <s v=""/>
    <x v="1"/>
    <x v="2"/>
    <x v="2"/>
    <n v="2.5"/>
    <x v="11"/>
    <x v="156"/>
    <x v="2"/>
    <x v="2"/>
    <x v="0"/>
  </r>
  <r>
    <x v="515"/>
    <x v="427"/>
    <x v="501"/>
    <x v="37"/>
    <n v="4"/>
    <x v="501"/>
    <s v="zpellettf2@dailymotion.com"/>
    <x v="0"/>
    <x v="2"/>
    <x v="0"/>
    <n v="2.5"/>
    <x v="31"/>
    <x v="68"/>
    <x v="2"/>
    <x v="0"/>
    <x v="1"/>
  </r>
  <r>
    <x v="516"/>
    <x v="428"/>
    <x v="502"/>
    <x v="4"/>
    <n v="2"/>
    <x v="502"/>
    <s v="isprakesf3@spiegel.de"/>
    <x v="0"/>
    <x v="0"/>
    <x v="1"/>
    <n v="2.5"/>
    <x v="4"/>
    <x v="4"/>
    <x v="0"/>
    <x v="1"/>
    <x v="1"/>
  </r>
  <r>
    <x v="517"/>
    <x v="383"/>
    <x v="503"/>
    <x v="42"/>
    <n v="2"/>
    <x v="503"/>
    <s v="hfromantf4@ucsd.edu"/>
    <x v="0"/>
    <x v="2"/>
    <x v="1"/>
    <n v="0.5"/>
    <x v="26"/>
    <x v="42"/>
    <x v="2"/>
    <x v="1"/>
    <x v="1"/>
  </r>
  <r>
    <x v="518"/>
    <x v="156"/>
    <x v="504"/>
    <x v="12"/>
    <n v="4"/>
    <x v="504"/>
    <s v="rflearf5@artisteer.com"/>
    <x v="2"/>
    <x v="3"/>
    <x v="2"/>
    <n v="0.2"/>
    <x v="10"/>
    <x v="42"/>
    <x v="3"/>
    <x v="2"/>
    <x v="1"/>
  </r>
  <r>
    <x v="519"/>
    <x v="429"/>
    <x v="505"/>
    <x v="47"/>
    <n v="3"/>
    <x v="505"/>
    <s v=""/>
    <x v="1"/>
    <x v="1"/>
    <x v="2"/>
    <n v="2.5"/>
    <x v="39"/>
    <x v="171"/>
    <x v="1"/>
    <x v="2"/>
    <x v="1"/>
  </r>
  <r>
    <x v="520"/>
    <x v="103"/>
    <x v="506"/>
    <x v="40"/>
    <n v="3"/>
    <x v="506"/>
    <s v="wlightollersf9@baidu.com"/>
    <x v="0"/>
    <x v="0"/>
    <x v="1"/>
    <n v="0.2"/>
    <x v="34"/>
    <x v="127"/>
    <x v="0"/>
    <x v="1"/>
    <x v="0"/>
  </r>
  <r>
    <x v="521"/>
    <x v="361"/>
    <x v="507"/>
    <x v="46"/>
    <n v="3"/>
    <x v="507"/>
    <s v="bmundenf8@elpais.com"/>
    <x v="0"/>
    <x v="1"/>
    <x v="1"/>
    <n v="0.2"/>
    <x v="38"/>
    <x v="77"/>
    <x v="1"/>
    <x v="1"/>
    <x v="0"/>
  </r>
  <r>
    <x v="522"/>
    <x v="120"/>
    <x v="506"/>
    <x v="46"/>
    <n v="4"/>
    <x v="506"/>
    <s v="wlightollersf9@baidu.com"/>
    <x v="0"/>
    <x v="1"/>
    <x v="1"/>
    <n v="0.2"/>
    <x v="38"/>
    <x v="58"/>
    <x v="1"/>
    <x v="1"/>
    <x v="0"/>
  </r>
  <r>
    <x v="523"/>
    <x v="430"/>
    <x v="508"/>
    <x v="12"/>
    <n v="6"/>
    <x v="508"/>
    <s v="nbrakespearfa@rediff.com"/>
    <x v="0"/>
    <x v="3"/>
    <x v="2"/>
    <n v="0.2"/>
    <x v="10"/>
    <x v="102"/>
    <x v="3"/>
    <x v="2"/>
    <x v="0"/>
  </r>
  <r>
    <x v="524"/>
    <x v="125"/>
    <x v="509"/>
    <x v="15"/>
    <n v="2"/>
    <x v="509"/>
    <s v="mglawsopfb@reverbnation.com"/>
    <x v="0"/>
    <x v="1"/>
    <x v="2"/>
    <n v="0.2"/>
    <x v="13"/>
    <x v="35"/>
    <x v="1"/>
    <x v="2"/>
    <x v="1"/>
  </r>
  <r>
    <x v="525"/>
    <x v="431"/>
    <x v="510"/>
    <x v="46"/>
    <n v="4"/>
    <x v="510"/>
    <s v="galbertsfc@etsy.com"/>
    <x v="2"/>
    <x v="1"/>
    <x v="1"/>
    <n v="0.2"/>
    <x v="38"/>
    <x v="58"/>
    <x v="1"/>
    <x v="1"/>
    <x v="0"/>
  </r>
  <r>
    <x v="526"/>
    <x v="40"/>
    <x v="511"/>
    <x v="3"/>
    <n v="5"/>
    <x v="511"/>
    <s v="vpolglasefd@about.me"/>
    <x v="0"/>
    <x v="1"/>
    <x v="0"/>
    <n v="1"/>
    <x v="3"/>
    <x v="85"/>
    <x v="1"/>
    <x v="0"/>
    <x v="1"/>
  </r>
  <r>
    <x v="527"/>
    <x v="432"/>
    <x v="512"/>
    <x v="4"/>
    <n v="2"/>
    <x v="512"/>
    <s v=""/>
    <x v="2"/>
    <x v="0"/>
    <x v="1"/>
    <n v="2.5"/>
    <x v="4"/>
    <x v="4"/>
    <x v="0"/>
    <x v="1"/>
    <x v="0"/>
  </r>
  <r>
    <x v="528"/>
    <x v="254"/>
    <x v="513"/>
    <x v="3"/>
    <n v="6"/>
    <x v="513"/>
    <s v="sbuschff@so-net.ne.jp"/>
    <x v="1"/>
    <x v="1"/>
    <x v="0"/>
    <n v="1"/>
    <x v="3"/>
    <x v="121"/>
    <x v="1"/>
    <x v="0"/>
    <x v="1"/>
  </r>
  <r>
    <x v="529"/>
    <x v="219"/>
    <x v="514"/>
    <x v="21"/>
    <n v="2"/>
    <x v="514"/>
    <s v="craisbeckfg@webnode.com"/>
    <x v="0"/>
    <x v="3"/>
    <x v="0"/>
    <n v="0.2"/>
    <x v="18"/>
    <x v="31"/>
    <x v="3"/>
    <x v="0"/>
    <x v="0"/>
  </r>
  <r>
    <x v="530"/>
    <x v="433"/>
    <x v="464"/>
    <x v="33"/>
    <n v="4"/>
    <x v="464"/>
    <s v="murione5@alexa.com"/>
    <x v="1"/>
    <x v="1"/>
    <x v="1"/>
    <n v="1"/>
    <x v="28"/>
    <x v="48"/>
    <x v="1"/>
    <x v="1"/>
    <x v="0"/>
  </r>
  <r>
    <x v="531"/>
    <x v="434"/>
    <x v="515"/>
    <x v="12"/>
    <n v="4"/>
    <x v="515"/>
    <s v=""/>
    <x v="0"/>
    <x v="3"/>
    <x v="2"/>
    <n v="0.2"/>
    <x v="10"/>
    <x v="42"/>
    <x v="3"/>
    <x v="2"/>
    <x v="0"/>
  </r>
  <r>
    <x v="532"/>
    <x v="435"/>
    <x v="516"/>
    <x v="2"/>
    <n v="3"/>
    <x v="516"/>
    <s v="raynoldfj@ustream.tv"/>
    <x v="0"/>
    <x v="2"/>
    <x v="1"/>
    <n v="1"/>
    <x v="2"/>
    <x v="5"/>
    <x v="2"/>
    <x v="1"/>
    <x v="0"/>
  </r>
  <r>
    <x v="533"/>
    <x v="436"/>
    <x v="517"/>
    <x v="28"/>
    <n v="6"/>
    <x v="517"/>
    <s v=""/>
    <x v="0"/>
    <x v="1"/>
    <x v="0"/>
    <n v="2.5"/>
    <x v="25"/>
    <x v="152"/>
    <x v="1"/>
    <x v="0"/>
    <x v="0"/>
  </r>
  <r>
    <x v="534"/>
    <x v="437"/>
    <x v="518"/>
    <x v="16"/>
    <n v="6"/>
    <x v="518"/>
    <s v=""/>
    <x v="1"/>
    <x v="2"/>
    <x v="2"/>
    <n v="0.2"/>
    <x v="14"/>
    <x v="8"/>
    <x v="2"/>
    <x v="2"/>
    <x v="0"/>
  </r>
  <r>
    <x v="535"/>
    <x v="438"/>
    <x v="519"/>
    <x v="7"/>
    <n v="6"/>
    <x v="519"/>
    <s v="bgrecefm@naver.com"/>
    <x v="2"/>
    <x v="3"/>
    <x v="1"/>
    <n v="0.2"/>
    <x v="6"/>
    <x v="32"/>
    <x v="3"/>
    <x v="1"/>
    <x v="1"/>
  </r>
  <r>
    <x v="536"/>
    <x v="439"/>
    <x v="520"/>
    <x v="3"/>
    <n v="6"/>
    <x v="520"/>
    <s v="dflintiffg1@e-recht24.de"/>
    <x v="2"/>
    <x v="1"/>
    <x v="0"/>
    <n v="1"/>
    <x v="3"/>
    <x v="121"/>
    <x v="1"/>
    <x v="0"/>
    <x v="1"/>
  </r>
  <r>
    <x v="537"/>
    <x v="175"/>
    <x v="521"/>
    <x v="35"/>
    <n v="2"/>
    <x v="521"/>
    <s v="athysfo@cdc.gov"/>
    <x v="0"/>
    <x v="0"/>
    <x v="1"/>
    <n v="0.5"/>
    <x v="30"/>
    <x v="79"/>
    <x v="0"/>
    <x v="1"/>
    <x v="1"/>
  </r>
  <r>
    <x v="538"/>
    <x v="440"/>
    <x v="522"/>
    <x v="11"/>
    <n v="4"/>
    <x v="522"/>
    <s v="jchuggfp@about.me"/>
    <x v="0"/>
    <x v="0"/>
    <x v="2"/>
    <n v="2.5"/>
    <x v="9"/>
    <x v="18"/>
    <x v="0"/>
    <x v="2"/>
    <x v="1"/>
  </r>
  <r>
    <x v="539"/>
    <x v="441"/>
    <x v="523"/>
    <x v="14"/>
    <n v="6"/>
    <x v="523"/>
    <s v="akelstonfq@sakura.ne.jp"/>
    <x v="0"/>
    <x v="2"/>
    <x v="0"/>
    <n v="0.2"/>
    <x v="12"/>
    <x v="16"/>
    <x v="2"/>
    <x v="0"/>
    <x v="0"/>
  </r>
  <r>
    <x v="540"/>
    <x v="442"/>
    <x v="524"/>
    <x v="4"/>
    <n v="6"/>
    <x v="524"/>
    <s v=""/>
    <x v="1"/>
    <x v="0"/>
    <x v="1"/>
    <n v="2.5"/>
    <x v="4"/>
    <x v="183"/>
    <x v="0"/>
    <x v="1"/>
    <x v="1"/>
  </r>
  <r>
    <x v="541"/>
    <x v="443"/>
    <x v="525"/>
    <x v="7"/>
    <n v="4"/>
    <x v="525"/>
    <s v="cmottramfs@harvard.edu"/>
    <x v="0"/>
    <x v="3"/>
    <x v="1"/>
    <n v="0.2"/>
    <x v="6"/>
    <x v="81"/>
    <x v="3"/>
    <x v="1"/>
    <x v="0"/>
  </r>
  <r>
    <x v="542"/>
    <x v="216"/>
    <x v="520"/>
    <x v="30"/>
    <n v="6"/>
    <x v="520"/>
    <s v="dflintiffg1@e-recht24.de"/>
    <x v="2"/>
    <x v="2"/>
    <x v="2"/>
    <n v="2.5"/>
    <x v="11"/>
    <x v="170"/>
    <x v="2"/>
    <x v="2"/>
    <x v="1"/>
  </r>
  <r>
    <x v="543"/>
    <x v="444"/>
    <x v="526"/>
    <x v="19"/>
    <n v="4"/>
    <x v="526"/>
    <s v="dsangwinfu@weebly.com"/>
    <x v="0"/>
    <x v="2"/>
    <x v="0"/>
    <n v="0.5"/>
    <x v="17"/>
    <x v="25"/>
    <x v="2"/>
    <x v="0"/>
    <x v="1"/>
  </r>
  <r>
    <x v="544"/>
    <x v="37"/>
    <x v="527"/>
    <x v="38"/>
    <n v="4"/>
    <x v="527"/>
    <s v="eaizikowitzfv@virginia.edu"/>
    <x v="2"/>
    <x v="1"/>
    <x v="1"/>
    <n v="0.5"/>
    <x v="32"/>
    <x v="70"/>
    <x v="1"/>
    <x v="1"/>
    <x v="1"/>
  </r>
  <r>
    <x v="545"/>
    <x v="445"/>
    <x v="528"/>
    <x v="16"/>
    <n v="2"/>
    <x v="528"/>
    <s v=""/>
    <x v="0"/>
    <x v="2"/>
    <x v="2"/>
    <n v="0.2"/>
    <x v="14"/>
    <x v="9"/>
    <x v="2"/>
    <x v="2"/>
    <x v="0"/>
  </r>
  <r>
    <x v="546"/>
    <x v="446"/>
    <x v="529"/>
    <x v="17"/>
    <n v="6"/>
    <x v="529"/>
    <s v="cvenourfx@ask.com"/>
    <x v="0"/>
    <x v="2"/>
    <x v="0"/>
    <n v="1"/>
    <x v="15"/>
    <x v="173"/>
    <x v="2"/>
    <x v="0"/>
    <x v="1"/>
  </r>
  <r>
    <x v="547"/>
    <x v="245"/>
    <x v="530"/>
    <x v="40"/>
    <n v="6"/>
    <x v="530"/>
    <s v="mharbyfy@163.com"/>
    <x v="0"/>
    <x v="0"/>
    <x v="1"/>
    <n v="0.2"/>
    <x v="34"/>
    <x v="137"/>
    <x v="0"/>
    <x v="1"/>
    <x v="0"/>
  </r>
  <r>
    <x v="548"/>
    <x v="447"/>
    <x v="531"/>
    <x v="43"/>
    <n v="2"/>
    <x v="531"/>
    <s v="rthickpennyfz@cafepress.com"/>
    <x v="0"/>
    <x v="3"/>
    <x v="0"/>
    <n v="2.5"/>
    <x v="36"/>
    <x v="174"/>
    <x v="3"/>
    <x v="0"/>
    <x v="1"/>
  </r>
  <r>
    <x v="549"/>
    <x v="448"/>
    <x v="532"/>
    <x v="16"/>
    <n v="6"/>
    <x v="532"/>
    <s v="pormerodg0@redcross.org"/>
    <x v="0"/>
    <x v="2"/>
    <x v="2"/>
    <n v="0.2"/>
    <x v="14"/>
    <x v="8"/>
    <x v="2"/>
    <x v="2"/>
    <x v="1"/>
  </r>
  <r>
    <x v="550"/>
    <x v="344"/>
    <x v="520"/>
    <x v="24"/>
    <n v="4"/>
    <x v="520"/>
    <s v="dflintiffg1@e-recht24.de"/>
    <x v="2"/>
    <x v="3"/>
    <x v="0"/>
    <n v="1"/>
    <x v="21"/>
    <x v="125"/>
    <x v="3"/>
    <x v="0"/>
    <x v="1"/>
  </r>
  <r>
    <x v="551"/>
    <x v="152"/>
    <x v="533"/>
    <x v="46"/>
    <n v="3"/>
    <x v="533"/>
    <s v="tzanettig2@gravatar.com"/>
    <x v="1"/>
    <x v="1"/>
    <x v="1"/>
    <n v="0.2"/>
    <x v="38"/>
    <x v="77"/>
    <x v="1"/>
    <x v="1"/>
    <x v="1"/>
  </r>
  <r>
    <x v="551"/>
    <x v="152"/>
    <x v="533"/>
    <x v="19"/>
    <n v="5"/>
    <x v="533"/>
    <s v="tzanettig2@gravatar.com"/>
    <x v="1"/>
    <x v="2"/>
    <x v="0"/>
    <n v="0.5"/>
    <x v="17"/>
    <x v="65"/>
    <x v="2"/>
    <x v="0"/>
    <x v="1"/>
  </r>
  <r>
    <x v="552"/>
    <x v="449"/>
    <x v="534"/>
    <x v="33"/>
    <n v="3"/>
    <x v="534"/>
    <s v="rkirtleyg4@hatena.ne.jp"/>
    <x v="0"/>
    <x v="1"/>
    <x v="1"/>
    <n v="1"/>
    <x v="28"/>
    <x v="69"/>
    <x v="1"/>
    <x v="1"/>
    <x v="0"/>
  </r>
  <r>
    <x v="553"/>
    <x v="450"/>
    <x v="535"/>
    <x v="38"/>
    <n v="5"/>
    <x v="535"/>
    <s v="cclemencetg5@weather.com"/>
    <x v="2"/>
    <x v="1"/>
    <x v="1"/>
    <n v="0.5"/>
    <x v="32"/>
    <x v="69"/>
    <x v="1"/>
    <x v="1"/>
    <x v="0"/>
  </r>
  <r>
    <x v="554"/>
    <x v="451"/>
    <x v="536"/>
    <x v="45"/>
    <n v="5"/>
    <x v="536"/>
    <s v="rdonetg6@oakley.com"/>
    <x v="0"/>
    <x v="1"/>
    <x v="2"/>
    <n v="1"/>
    <x v="37"/>
    <x v="184"/>
    <x v="1"/>
    <x v="2"/>
    <x v="1"/>
  </r>
  <r>
    <x v="555"/>
    <x v="83"/>
    <x v="537"/>
    <x v="40"/>
    <n v="1"/>
    <x v="537"/>
    <s v="sgaweng7@creativecommons.org"/>
    <x v="0"/>
    <x v="0"/>
    <x v="1"/>
    <n v="0.2"/>
    <x v="34"/>
    <x v="60"/>
    <x v="0"/>
    <x v="1"/>
    <x v="0"/>
  </r>
  <r>
    <x v="556"/>
    <x v="452"/>
    <x v="538"/>
    <x v="40"/>
    <n v="6"/>
    <x v="538"/>
    <s v="rreadieg8@guardian.co.uk"/>
    <x v="0"/>
    <x v="0"/>
    <x v="1"/>
    <n v="0.2"/>
    <x v="34"/>
    <x v="137"/>
    <x v="0"/>
    <x v="1"/>
    <x v="1"/>
  </r>
  <r>
    <x v="557"/>
    <x v="453"/>
    <x v="539"/>
    <x v="1"/>
    <n v="2"/>
    <x v="539"/>
    <s v="cverissimogh@theglobeandmail.com"/>
    <x v="2"/>
    <x v="1"/>
    <x v="0"/>
    <n v="0.5"/>
    <x v="1"/>
    <x v="38"/>
    <x v="1"/>
    <x v="0"/>
    <x v="0"/>
  </r>
  <r>
    <x v="558"/>
    <x v="454"/>
    <x v="540"/>
    <x v="4"/>
    <n v="3"/>
    <x v="540"/>
    <s v=""/>
    <x v="0"/>
    <x v="0"/>
    <x v="1"/>
    <n v="2.5"/>
    <x v="4"/>
    <x v="185"/>
    <x v="0"/>
    <x v="1"/>
    <x v="1"/>
  </r>
  <r>
    <x v="559"/>
    <x v="455"/>
    <x v="541"/>
    <x v="31"/>
    <n v="1"/>
    <x v="541"/>
    <s v="bogb@elpais.com"/>
    <x v="0"/>
    <x v="3"/>
    <x v="2"/>
    <n v="0.5"/>
    <x v="26"/>
    <x v="41"/>
    <x v="3"/>
    <x v="2"/>
    <x v="0"/>
  </r>
  <r>
    <x v="560"/>
    <x v="456"/>
    <x v="542"/>
    <x v="8"/>
    <n v="2"/>
    <x v="542"/>
    <s v="vstansburygc@unblog.fr"/>
    <x v="0"/>
    <x v="0"/>
    <x v="0"/>
    <n v="0.5"/>
    <x v="7"/>
    <x v="22"/>
    <x v="0"/>
    <x v="0"/>
    <x v="0"/>
  </r>
  <r>
    <x v="561"/>
    <x v="373"/>
    <x v="543"/>
    <x v="10"/>
    <n v="6"/>
    <x v="543"/>
    <s v="dheinonengd@printfriendly.com"/>
    <x v="0"/>
    <x v="1"/>
    <x v="1"/>
    <n v="2.5"/>
    <x v="8"/>
    <x v="106"/>
    <x v="1"/>
    <x v="1"/>
    <x v="1"/>
  </r>
  <r>
    <x v="562"/>
    <x v="457"/>
    <x v="544"/>
    <x v="28"/>
    <n v="2"/>
    <x v="544"/>
    <s v="jshentonge@google.com.hk"/>
    <x v="0"/>
    <x v="1"/>
    <x v="0"/>
    <n v="2.5"/>
    <x v="25"/>
    <x v="40"/>
    <x v="1"/>
    <x v="0"/>
    <x v="0"/>
  </r>
  <r>
    <x v="563"/>
    <x v="458"/>
    <x v="545"/>
    <x v="25"/>
    <n v="3"/>
    <x v="545"/>
    <s v="jwilkissongf@nba.com"/>
    <x v="0"/>
    <x v="0"/>
    <x v="2"/>
    <n v="0.2"/>
    <x v="22"/>
    <x v="36"/>
    <x v="0"/>
    <x v="2"/>
    <x v="0"/>
  </r>
  <r>
    <x v="564"/>
    <x v="264"/>
    <x v="546"/>
    <x v="37"/>
    <n v="2"/>
    <x v="546"/>
    <s v=""/>
    <x v="0"/>
    <x v="2"/>
    <x v="0"/>
    <n v="2.5"/>
    <x v="31"/>
    <x v="95"/>
    <x v="2"/>
    <x v="0"/>
    <x v="1"/>
  </r>
  <r>
    <x v="565"/>
    <x v="459"/>
    <x v="539"/>
    <x v="47"/>
    <n v="1"/>
    <x v="539"/>
    <s v="cverissimogh@theglobeandmail.com"/>
    <x v="2"/>
    <x v="1"/>
    <x v="2"/>
    <n v="2.5"/>
    <x v="39"/>
    <x v="140"/>
    <x v="1"/>
    <x v="2"/>
    <x v="0"/>
  </r>
  <r>
    <x v="566"/>
    <x v="460"/>
    <x v="547"/>
    <x v="44"/>
    <n v="2"/>
    <x v="547"/>
    <s v="gstarcksgi@abc.net.au"/>
    <x v="0"/>
    <x v="2"/>
    <x v="1"/>
    <n v="2.5"/>
    <x v="24"/>
    <x v="120"/>
    <x v="2"/>
    <x v="1"/>
    <x v="1"/>
  </r>
  <r>
    <x v="567"/>
    <x v="461"/>
    <x v="548"/>
    <x v="33"/>
    <n v="1"/>
    <x v="548"/>
    <s v=""/>
    <x v="2"/>
    <x v="1"/>
    <x v="1"/>
    <n v="1"/>
    <x v="28"/>
    <x v="151"/>
    <x v="1"/>
    <x v="1"/>
    <x v="1"/>
  </r>
  <r>
    <x v="568"/>
    <x v="219"/>
    <x v="549"/>
    <x v="19"/>
    <n v="5"/>
    <x v="549"/>
    <s v="kscholardgk@sbwire.com"/>
    <x v="0"/>
    <x v="2"/>
    <x v="0"/>
    <n v="0.5"/>
    <x v="17"/>
    <x v="65"/>
    <x v="2"/>
    <x v="0"/>
    <x v="1"/>
  </r>
  <r>
    <x v="569"/>
    <x v="462"/>
    <x v="550"/>
    <x v="26"/>
    <n v="4"/>
    <x v="550"/>
    <s v="bkindleygl@wikimedia.org"/>
    <x v="0"/>
    <x v="3"/>
    <x v="1"/>
    <n v="2.5"/>
    <x v="23"/>
    <x v="43"/>
    <x v="3"/>
    <x v="1"/>
    <x v="0"/>
  </r>
  <r>
    <x v="570"/>
    <x v="463"/>
    <x v="551"/>
    <x v="36"/>
    <n v="4"/>
    <x v="551"/>
    <s v="khammettgm@dmoz.org"/>
    <x v="0"/>
    <x v="0"/>
    <x v="0"/>
    <n v="0.2"/>
    <x v="14"/>
    <x v="22"/>
    <x v="0"/>
    <x v="0"/>
    <x v="0"/>
  </r>
  <r>
    <x v="571"/>
    <x v="464"/>
    <x v="552"/>
    <x v="16"/>
    <n v="4"/>
    <x v="552"/>
    <s v="ahulburtgn@fda.gov"/>
    <x v="0"/>
    <x v="2"/>
    <x v="2"/>
    <n v="0.2"/>
    <x v="14"/>
    <x v="22"/>
    <x v="2"/>
    <x v="2"/>
    <x v="0"/>
  </r>
  <r>
    <x v="572"/>
    <x v="465"/>
    <x v="553"/>
    <x v="31"/>
    <n v="1"/>
    <x v="553"/>
    <s v="plauritzengo@photobucket.com"/>
    <x v="0"/>
    <x v="3"/>
    <x v="2"/>
    <n v="0.5"/>
    <x v="26"/>
    <x v="41"/>
    <x v="3"/>
    <x v="2"/>
    <x v="1"/>
  </r>
  <r>
    <x v="573"/>
    <x v="466"/>
    <x v="554"/>
    <x v="4"/>
    <n v="4"/>
    <x v="554"/>
    <s v="aburgwingp@redcross.org"/>
    <x v="0"/>
    <x v="0"/>
    <x v="1"/>
    <n v="2.5"/>
    <x v="4"/>
    <x v="108"/>
    <x v="0"/>
    <x v="1"/>
    <x v="0"/>
  </r>
  <r>
    <x v="574"/>
    <x v="467"/>
    <x v="555"/>
    <x v="46"/>
    <n v="5"/>
    <x v="555"/>
    <s v="erolingq@google.fr"/>
    <x v="0"/>
    <x v="1"/>
    <x v="1"/>
    <n v="0.2"/>
    <x v="38"/>
    <x v="110"/>
    <x v="1"/>
    <x v="1"/>
    <x v="0"/>
  </r>
  <r>
    <x v="575"/>
    <x v="468"/>
    <x v="556"/>
    <x v="36"/>
    <n v="3"/>
    <x v="556"/>
    <s v="dfowlegr@epa.gov"/>
    <x v="0"/>
    <x v="0"/>
    <x v="0"/>
    <n v="0.2"/>
    <x v="14"/>
    <x v="169"/>
    <x v="0"/>
    <x v="0"/>
    <x v="1"/>
  </r>
  <r>
    <x v="576"/>
    <x v="469"/>
    <x v="557"/>
    <x v="27"/>
    <n v="4"/>
    <x v="557"/>
    <s v=""/>
    <x v="1"/>
    <x v="3"/>
    <x v="2"/>
    <n v="2.5"/>
    <x v="24"/>
    <x v="129"/>
    <x v="3"/>
    <x v="2"/>
    <x v="1"/>
  </r>
  <r>
    <x v="577"/>
    <x v="470"/>
    <x v="558"/>
    <x v="44"/>
    <n v="5"/>
    <x v="558"/>
    <s v="wpowleslandgt@soundcloud.com"/>
    <x v="0"/>
    <x v="2"/>
    <x v="1"/>
    <n v="2.5"/>
    <x v="24"/>
    <x v="74"/>
    <x v="2"/>
    <x v="1"/>
    <x v="0"/>
  </r>
  <r>
    <x v="578"/>
    <x v="471"/>
    <x v="539"/>
    <x v="26"/>
    <n v="3"/>
    <x v="539"/>
    <s v="cverissimogh@theglobeandmail.com"/>
    <x v="2"/>
    <x v="3"/>
    <x v="1"/>
    <n v="2.5"/>
    <x v="23"/>
    <x v="63"/>
    <x v="3"/>
    <x v="1"/>
    <x v="0"/>
  </r>
  <r>
    <x v="579"/>
    <x v="472"/>
    <x v="559"/>
    <x v="15"/>
    <n v="1"/>
    <x v="559"/>
    <s v="lellinghamgv@sciencedaily.com"/>
    <x v="0"/>
    <x v="1"/>
    <x v="2"/>
    <n v="0.2"/>
    <x v="13"/>
    <x v="186"/>
    <x v="1"/>
    <x v="2"/>
    <x v="0"/>
  </r>
  <r>
    <x v="580"/>
    <x v="173"/>
    <x v="560"/>
    <x v="47"/>
    <n v="2"/>
    <x v="560"/>
    <s v=""/>
    <x v="0"/>
    <x v="1"/>
    <x v="2"/>
    <n v="2.5"/>
    <x v="39"/>
    <x v="158"/>
    <x v="1"/>
    <x v="2"/>
    <x v="1"/>
  </r>
  <r>
    <x v="581"/>
    <x v="473"/>
    <x v="561"/>
    <x v="21"/>
    <n v="6"/>
    <x v="561"/>
    <s v="afendtgx@forbes.com"/>
    <x v="0"/>
    <x v="3"/>
    <x v="0"/>
    <n v="0.2"/>
    <x v="18"/>
    <x v="50"/>
    <x v="3"/>
    <x v="0"/>
    <x v="0"/>
  </r>
  <r>
    <x v="582"/>
    <x v="474"/>
    <x v="562"/>
    <x v="0"/>
    <n v="4"/>
    <x v="562"/>
    <s v="acleyburngy@lycos.com"/>
    <x v="0"/>
    <x v="0"/>
    <x v="0"/>
    <n v="1"/>
    <x v="0"/>
    <x v="10"/>
    <x v="0"/>
    <x v="0"/>
    <x v="1"/>
  </r>
  <r>
    <x v="583"/>
    <x v="475"/>
    <x v="563"/>
    <x v="10"/>
    <n v="2"/>
    <x v="563"/>
    <s v="tcastiglionegz@xing.com"/>
    <x v="0"/>
    <x v="1"/>
    <x v="1"/>
    <n v="2.5"/>
    <x v="8"/>
    <x v="93"/>
    <x v="1"/>
    <x v="1"/>
    <x v="1"/>
  </r>
  <r>
    <x v="584"/>
    <x v="476"/>
    <x v="564"/>
    <x v="14"/>
    <n v="4"/>
    <x v="564"/>
    <s v=""/>
    <x v="1"/>
    <x v="2"/>
    <x v="0"/>
    <n v="0.2"/>
    <x v="12"/>
    <x v="72"/>
    <x v="2"/>
    <x v="0"/>
    <x v="1"/>
  </r>
  <r>
    <x v="585"/>
    <x v="431"/>
    <x v="565"/>
    <x v="8"/>
    <n v="1"/>
    <x v="565"/>
    <s v=""/>
    <x v="0"/>
    <x v="0"/>
    <x v="0"/>
    <n v="0.5"/>
    <x v="7"/>
    <x v="9"/>
    <x v="0"/>
    <x v="0"/>
    <x v="1"/>
  </r>
  <r>
    <x v="586"/>
    <x v="477"/>
    <x v="539"/>
    <x v="8"/>
    <n v="5"/>
    <x v="539"/>
    <s v="cverissimogh@theglobeandmail.com"/>
    <x v="2"/>
    <x v="0"/>
    <x v="0"/>
    <n v="0.5"/>
    <x v="7"/>
    <x v="44"/>
    <x v="0"/>
    <x v="0"/>
    <x v="0"/>
  </r>
  <r>
    <x v="587"/>
    <x v="478"/>
    <x v="566"/>
    <x v="26"/>
    <n v="2"/>
    <x v="566"/>
    <s v="scouronneh3@mozilla.org"/>
    <x v="0"/>
    <x v="3"/>
    <x v="1"/>
    <n v="2.5"/>
    <x v="23"/>
    <x v="37"/>
    <x v="3"/>
    <x v="1"/>
    <x v="0"/>
  </r>
  <r>
    <x v="588"/>
    <x v="45"/>
    <x v="567"/>
    <x v="28"/>
    <n v="4"/>
    <x v="567"/>
    <s v="lflippellih4@github.io"/>
    <x v="2"/>
    <x v="1"/>
    <x v="0"/>
    <n v="2.5"/>
    <x v="25"/>
    <x v="177"/>
    <x v="1"/>
    <x v="0"/>
    <x v="1"/>
  </r>
  <r>
    <x v="589"/>
    <x v="444"/>
    <x v="568"/>
    <x v="43"/>
    <n v="1"/>
    <x v="568"/>
    <s v="relizabethh5@live.com"/>
    <x v="0"/>
    <x v="3"/>
    <x v="0"/>
    <n v="2.5"/>
    <x v="36"/>
    <x v="116"/>
    <x v="3"/>
    <x v="0"/>
    <x v="1"/>
  </r>
  <r>
    <x v="590"/>
    <x v="479"/>
    <x v="569"/>
    <x v="45"/>
    <n v="6"/>
    <x v="569"/>
    <s v="irenhardh6@i2i.jp"/>
    <x v="0"/>
    <x v="1"/>
    <x v="2"/>
    <n v="1"/>
    <x v="37"/>
    <x v="118"/>
    <x v="1"/>
    <x v="2"/>
    <x v="0"/>
  </r>
  <r>
    <x v="591"/>
    <x v="480"/>
    <x v="570"/>
    <x v="31"/>
    <n v="2"/>
    <x v="570"/>
    <s v="wrocheh7@xinhuanet.com"/>
    <x v="0"/>
    <x v="3"/>
    <x v="2"/>
    <n v="0.5"/>
    <x v="26"/>
    <x v="42"/>
    <x v="3"/>
    <x v="2"/>
    <x v="0"/>
  </r>
  <r>
    <x v="592"/>
    <x v="481"/>
    <x v="571"/>
    <x v="14"/>
    <n v="6"/>
    <x v="571"/>
    <s v="lalawayhh@weather.com"/>
    <x v="0"/>
    <x v="2"/>
    <x v="0"/>
    <n v="0.2"/>
    <x v="12"/>
    <x v="16"/>
    <x v="2"/>
    <x v="0"/>
    <x v="1"/>
  </r>
  <r>
    <x v="593"/>
    <x v="478"/>
    <x v="572"/>
    <x v="2"/>
    <n v="6"/>
    <x v="572"/>
    <s v="codgaardh9@nsw.gov.au"/>
    <x v="0"/>
    <x v="2"/>
    <x v="1"/>
    <n v="1"/>
    <x v="2"/>
    <x v="17"/>
    <x v="2"/>
    <x v="1"/>
    <x v="1"/>
  </r>
  <r>
    <x v="594"/>
    <x v="482"/>
    <x v="573"/>
    <x v="43"/>
    <n v="4"/>
    <x v="573"/>
    <s v="bbyrdha@4shared.com"/>
    <x v="0"/>
    <x v="3"/>
    <x v="0"/>
    <n v="2.5"/>
    <x v="36"/>
    <x v="136"/>
    <x v="3"/>
    <x v="0"/>
    <x v="1"/>
  </r>
  <r>
    <x v="595"/>
    <x v="353"/>
    <x v="574"/>
    <x v="45"/>
    <n v="1"/>
    <x v="574"/>
    <s v=""/>
    <x v="2"/>
    <x v="1"/>
    <x v="2"/>
    <n v="1"/>
    <x v="37"/>
    <x v="87"/>
    <x v="1"/>
    <x v="2"/>
    <x v="1"/>
  </r>
  <r>
    <x v="596"/>
    <x v="199"/>
    <x v="575"/>
    <x v="28"/>
    <n v="2"/>
    <x v="575"/>
    <s v="dchardinhc@nhs.uk"/>
    <x v="1"/>
    <x v="1"/>
    <x v="0"/>
    <n v="2.5"/>
    <x v="25"/>
    <x v="40"/>
    <x v="1"/>
    <x v="0"/>
    <x v="0"/>
  </r>
  <r>
    <x v="597"/>
    <x v="372"/>
    <x v="576"/>
    <x v="35"/>
    <n v="5"/>
    <x v="576"/>
    <s v="hradbonehd@newsvine.com"/>
    <x v="0"/>
    <x v="0"/>
    <x v="1"/>
    <n v="0.5"/>
    <x v="30"/>
    <x v="66"/>
    <x v="0"/>
    <x v="1"/>
    <x v="1"/>
  </r>
  <r>
    <x v="598"/>
    <x v="267"/>
    <x v="577"/>
    <x v="37"/>
    <n v="3"/>
    <x v="577"/>
    <s v="wbernthhe@miitbeian.gov.cn"/>
    <x v="0"/>
    <x v="2"/>
    <x v="0"/>
    <n v="2.5"/>
    <x v="31"/>
    <x v="57"/>
    <x v="2"/>
    <x v="0"/>
    <x v="1"/>
  </r>
  <r>
    <x v="599"/>
    <x v="480"/>
    <x v="578"/>
    <x v="28"/>
    <n v="2"/>
    <x v="578"/>
    <s v="bacarsonhf@cnn.com"/>
    <x v="0"/>
    <x v="1"/>
    <x v="0"/>
    <n v="2.5"/>
    <x v="25"/>
    <x v="40"/>
    <x v="1"/>
    <x v="0"/>
    <x v="0"/>
  </r>
  <r>
    <x v="600"/>
    <x v="483"/>
    <x v="579"/>
    <x v="46"/>
    <n v="6"/>
    <x v="579"/>
    <s v="fbrighamhg@blog.com"/>
    <x v="1"/>
    <x v="1"/>
    <x v="1"/>
    <n v="0.2"/>
    <x v="38"/>
    <x v="149"/>
    <x v="1"/>
    <x v="1"/>
    <x v="0"/>
  </r>
  <r>
    <x v="600"/>
    <x v="483"/>
    <x v="579"/>
    <x v="31"/>
    <n v="4"/>
    <x v="579"/>
    <s v="fbrighamhg@blog.com"/>
    <x v="1"/>
    <x v="3"/>
    <x v="2"/>
    <n v="0.5"/>
    <x v="26"/>
    <x v="113"/>
    <x v="3"/>
    <x v="2"/>
    <x v="0"/>
  </r>
  <r>
    <x v="600"/>
    <x v="483"/>
    <x v="579"/>
    <x v="16"/>
    <n v="1"/>
    <x v="579"/>
    <s v="fbrighamhg@blog.com"/>
    <x v="1"/>
    <x v="2"/>
    <x v="2"/>
    <n v="0.2"/>
    <x v="14"/>
    <x v="55"/>
    <x v="2"/>
    <x v="2"/>
    <x v="0"/>
  </r>
  <r>
    <x v="600"/>
    <x v="483"/>
    <x v="579"/>
    <x v="11"/>
    <n v="5"/>
    <x v="579"/>
    <s v="fbrighamhg@blog.com"/>
    <x v="1"/>
    <x v="0"/>
    <x v="2"/>
    <n v="2.5"/>
    <x v="9"/>
    <x v="182"/>
    <x v="0"/>
    <x v="2"/>
    <x v="0"/>
  </r>
  <r>
    <x v="601"/>
    <x v="484"/>
    <x v="580"/>
    <x v="38"/>
    <n v="4"/>
    <x v="580"/>
    <s v="myoxenhk@google.com"/>
    <x v="0"/>
    <x v="1"/>
    <x v="1"/>
    <n v="0.5"/>
    <x v="32"/>
    <x v="70"/>
    <x v="1"/>
    <x v="1"/>
    <x v="1"/>
  </r>
  <r>
    <x v="602"/>
    <x v="485"/>
    <x v="581"/>
    <x v="41"/>
    <n v="4"/>
    <x v="581"/>
    <s v="gmcgavinhl@histats.com"/>
    <x v="0"/>
    <x v="0"/>
    <x v="1"/>
    <n v="1"/>
    <x v="35"/>
    <x v="62"/>
    <x v="0"/>
    <x v="1"/>
    <x v="1"/>
  </r>
  <r>
    <x v="603"/>
    <x v="486"/>
    <x v="582"/>
    <x v="24"/>
    <n v="3"/>
    <x v="582"/>
    <s v="luttermarehm@engadget.com"/>
    <x v="0"/>
    <x v="3"/>
    <x v="0"/>
    <n v="1"/>
    <x v="21"/>
    <x v="34"/>
    <x v="3"/>
    <x v="0"/>
    <x v="1"/>
  </r>
  <r>
    <x v="604"/>
    <x v="487"/>
    <x v="583"/>
    <x v="38"/>
    <n v="4"/>
    <x v="583"/>
    <s v="edambrogiohn@techcrunch.com"/>
    <x v="0"/>
    <x v="1"/>
    <x v="1"/>
    <n v="0.5"/>
    <x v="32"/>
    <x v="70"/>
    <x v="1"/>
    <x v="1"/>
    <x v="0"/>
  </r>
  <r>
    <x v="605"/>
    <x v="488"/>
    <x v="584"/>
    <x v="32"/>
    <n v="6"/>
    <x v="584"/>
    <s v="cwinchcombeho@jiathis.com"/>
    <x v="0"/>
    <x v="3"/>
    <x v="1"/>
    <n v="1"/>
    <x v="27"/>
    <x v="179"/>
    <x v="3"/>
    <x v="1"/>
    <x v="0"/>
  </r>
  <r>
    <x v="606"/>
    <x v="489"/>
    <x v="585"/>
    <x v="28"/>
    <n v="1"/>
    <x v="585"/>
    <s v="bpaumierhp@umn.edu"/>
    <x v="1"/>
    <x v="1"/>
    <x v="0"/>
    <n v="2.5"/>
    <x v="25"/>
    <x v="176"/>
    <x v="1"/>
    <x v="0"/>
    <x v="0"/>
  </r>
  <r>
    <x v="607"/>
    <x v="162"/>
    <x v="586"/>
    <x v="37"/>
    <n v="3"/>
    <x v="586"/>
    <s v=""/>
    <x v="1"/>
    <x v="2"/>
    <x v="0"/>
    <n v="2.5"/>
    <x v="31"/>
    <x v="57"/>
    <x v="2"/>
    <x v="0"/>
    <x v="0"/>
  </r>
  <r>
    <x v="608"/>
    <x v="490"/>
    <x v="587"/>
    <x v="12"/>
    <n v="1"/>
    <x v="587"/>
    <s v="jcapeyhr@bravesites.com"/>
    <x v="0"/>
    <x v="3"/>
    <x v="2"/>
    <n v="0.2"/>
    <x v="10"/>
    <x v="84"/>
    <x v="3"/>
    <x v="2"/>
    <x v="0"/>
  </r>
  <r>
    <x v="609"/>
    <x v="491"/>
    <x v="588"/>
    <x v="4"/>
    <n v="5"/>
    <x v="588"/>
    <s v="tmathonneti0@google.co.jp"/>
    <x v="0"/>
    <x v="0"/>
    <x v="1"/>
    <n v="2.5"/>
    <x v="4"/>
    <x v="187"/>
    <x v="0"/>
    <x v="1"/>
    <x v="1"/>
  </r>
  <r>
    <x v="610"/>
    <x v="301"/>
    <x v="589"/>
    <x v="41"/>
    <n v="3"/>
    <x v="589"/>
    <s v="ybasillht@theguardian.com"/>
    <x v="0"/>
    <x v="0"/>
    <x v="1"/>
    <n v="1"/>
    <x v="35"/>
    <x v="66"/>
    <x v="0"/>
    <x v="1"/>
    <x v="0"/>
  </r>
  <r>
    <x v="611"/>
    <x v="194"/>
    <x v="590"/>
    <x v="18"/>
    <n v="2"/>
    <x v="590"/>
    <s v="mbaistowhu@i2i.jp"/>
    <x v="2"/>
    <x v="1"/>
    <x v="0"/>
    <n v="0.2"/>
    <x v="16"/>
    <x v="112"/>
    <x v="1"/>
    <x v="0"/>
    <x v="0"/>
  </r>
  <r>
    <x v="612"/>
    <x v="26"/>
    <x v="591"/>
    <x v="10"/>
    <n v="3"/>
    <x v="591"/>
    <s v="cpallanthv@typepad.com"/>
    <x v="0"/>
    <x v="1"/>
    <x v="1"/>
    <n v="2.5"/>
    <x v="8"/>
    <x v="89"/>
    <x v="1"/>
    <x v="1"/>
    <x v="0"/>
  </r>
  <r>
    <x v="613"/>
    <x v="125"/>
    <x v="592"/>
    <x v="11"/>
    <n v="2"/>
    <x v="592"/>
    <s v=""/>
    <x v="0"/>
    <x v="0"/>
    <x v="2"/>
    <n v="2.5"/>
    <x v="9"/>
    <x v="13"/>
    <x v="0"/>
    <x v="2"/>
    <x v="1"/>
  </r>
  <r>
    <x v="614"/>
    <x v="492"/>
    <x v="593"/>
    <x v="30"/>
    <n v="3"/>
    <x v="593"/>
    <s v="dohx@redcross.org"/>
    <x v="0"/>
    <x v="2"/>
    <x v="2"/>
    <n v="2.5"/>
    <x v="11"/>
    <x v="96"/>
    <x v="2"/>
    <x v="2"/>
    <x v="0"/>
  </r>
  <r>
    <x v="615"/>
    <x v="462"/>
    <x v="594"/>
    <x v="9"/>
    <n v="1"/>
    <x v="594"/>
    <s v="drallinhy@howstuffworks.com"/>
    <x v="0"/>
    <x v="2"/>
    <x v="2"/>
    <n v="1"/>
    <x v="0"/>
    <x v="138"/>
    <x v="2"/>
    <x v="2"/>
    <x v="0"/>
  </r>
  <r>
    <x v="616"/>
    <x v="493"/>
    <x v="595"/>
    <x v="23"/>
    <n v="3"/>
    <x v="595"/>
    <s v="achillhz@epa.gov"/>
    <x v="2"/>
    <x v="3"/>
    <x v="1"/>
    <n v="0.5"/>
    <x v="20"/>
    <x v="32"/>
    <x v="3"/>
    <x v="1"/>
    <x v="0"/>
  </r>
  <r>
    <x v="617"/>
    <x v="494"/>
    <x v="588"/>
    <x v="25"/>
    <n v="6"/>
    <x v="588"/>
    <s v="tmathonneti0@google.co.jp"/>
    <x v="0"/>
    <x v="0"/>
    <x v="2"/>
    <n v="0.2"/>
    <x v="22"/>
    <x v="103"/>
    <x v="0"/>
    <x v="2"/>
    <x v="1"/>
  </r>
  <r>
    <x v="618"/>
    <x v="495"/>
    <x v="596"/>
    <x v="32"/>
    <n v="6"/>
    <x v="596"/>
    <s v="cdenysi1@is.gd"/>
    <x v="2"/>
    <x v="3"/>
    <x v="1"/>
    <n v="1"/>
    <x v="27"/>
    <x v="179"/>
    <x v="3"/>
    <x v="1"/>
    <x v="1"/>
  </r>
  <r>
    <x v="619"/>
    <x v="496"/>
    <x v="597"/>
    <x v="34"/>
    <n v="1"/>
    <x v="597"/>
    <s v="cstebbingsi2@drupal.org"/>
    <x v="0"/>
    <x v="0"/>
    <x v="2"/>
    <n v="0.5"/>
    <x v="29"/>
    <x v="147"/>
    <x v="0"/>
    <x v="2"/>
    <x v="0"/>
  </r>
  <r>
    <x v="620"/>
    <x v="497"/>
    <x v="598"/>
    <x v="41"/>
    <n v="4"/>
    <x v="598"/>
    <s v=""/>
    <x v="0"/>
    <x v="0"/>
    <x v="1"/>
    <n v="1"/>
    <x v="35"/>
    <x v="62"/>
    <x v="0"/>
    <x v="1"/>
    <x v="1"/>
  </r>
  <r>
    <x v="621"/>
    <x v="498"/>
    <x v="599"/>
    <x v="32"/>
    <n v="4"/>
    <x v="599"/>
    <s v="rzywickii4@ifeng.com"/>
    <x v="1"/>
    <x v="3"/>
    <x v="1"/>
    <n v="1"/>
    <x v="27"/>
    <x v="165"/>
    <x v="3"/>
    <x v="1"/>
    <x v="1"/>
  </r>
  <r>
    <x v="622"/>
    <x v="382"/>
    <x v="600"/>
    <x v="37"/>
    <n v="4"/>
    <x v="600"/>
    <s v="aburgetti5@moonfruit.com"/>
    <x v="0"/>
    <x v="2"/>
    <x v="0"/>
    <n v="2.5"/>
    <x v="31"/>
    <x v="68"/>
    <x v="2"/>
    <x v="0"/>
    <x v="1"/>
  </r>
  <r>
    <x v="623"/>
    <x v="499"/>
    <x v="601"/>
    <x v="30"/>
    <n v="3"/>
    <x v="601"/>
    <s v="mmalloyi6@seattletimes.com"/>
    <x v="0"/>
    <x v="2"/>
    <x v="2"/>
    <n v="2.5"/>
    <x v="11"/>
    <x v="96"/>
    <x v="2"/>
    <x v="2"/>
    <x v="1"/>
  </r>
  <r>
    <x v="624"/>
    <x v="500"/>
    <x v="602"/>
    <x v="13"/>
    <n v="2"/>
    <x v="602"/>
    <s v="mmcparlandi7@w3.org"/>
    <x v="0"/>
    <x v="0"/>
    <x v="0"/>
    <n v="2.5"/>
    <x v="11"/>
    <x v="135"/>
    <x v="0"/>
    <x v="0"/>
    <x v="0"/>
  </r>
  <r>
    <x v="625"/>
    <x v="501"/>
    <x v="603"/>
    <x v="5"/>
    <n v="4"/>
    <x v="603"/>
    <s v="sjennaroyi8@purevolume.com"/>
    <x v="0"/>
    <x v="3"/>
    <x v="2"/>
    <n v="1"/>
    <x v="2"/>
    <x v="67"/>
    <x v="3"/>
    <x v="2"/>
    <x v="1"/>
  </r>
  <r>
    <x v="626"/>
    <x v="502"/>
    <x v="604"/>
    <x v="19"/>
    <n v="2"/>
    <x v="604"/>
    <s v="wplacei9@wsj.com"/>
    <x v="0"/>
    <x v="2"/>
    <x v="0"/>
    <n v="0.5"/>
    <x v="17"/>
    <x v="72"/>
    <x v="2"/>
    <x v="0"/>
    <x v="0"/>
  </r>
  <r>
    <x v="627"/>
    <x v="503"/>
    <x v="605"/>
    <x v="1"/>
    <n v="3"/>
    <x v="605"/>
    <s v="jmillettik@addtoany.com"/>
    <x v="0"/>
    <x v="1"/>
    <x v="0"/>
    <n v="0.5"/>
    <x v="1"/>
    <x v="167"/>
    <x v="1"/>
    <x v="0"/>
    <x v="0"/>
  </r>
  <r>
    <x v="628"/>
    <x v="504"/>
    <x v="606"/>
    <x v="30"/>
    <n v="2"/>
    <x v="606"/>
    <s v="dgadsdenib@google.com.hk"/>
    <x v="1"/>
    <x v="2"/>
    <x v="2"/>
    <n v="2.5"/>
    <x v="11"/>
    <x v="135"/>
    <x v="2"/>
    <x v="2"/>
    <x v="0"/>
  </r>
  <r>
    <x v="629"/>
    <x v="497"/>
    <x v="607"/>
    <x v="38"/>
    <n v="6"/>
    <x v="607"/>
    <s v="vwakelinic@unesco.org"/>
    <x v="0"/>
    <x v="1"/>
    <x v="1"/>
    <n v="0.5"/>
    <x v="32"/>
    <x v="119"/>
    <x v="1"/>
    <x v="1"/>
    <x v="1"/>
  </r>
  <r>
    <x v="630"/>
    <x v="501"/>
    <x v="608"/>
    <x v="14"/>
    <n v="6"/>
    <x v="608"/>
    <s v="acampsallid@zimbio.com"/>
    <x v="0"/>
    <x v="2"/>
    <x v="0"/>
    <n v="0.2"/>
    <x v="12"/>
    <x v="16"/>
    <x v="2"/>
    <x v="0"/>
    <x v="0"/>
  </r>
  <r>
    <x v="631"/>
    <x v="1"/>
    <x v="609"/>
    <x v="27"/>
    <n v="5"/>
    <x v="609"/>
    <s v="smosebyie@stanford.edu"/>
    <x v="0"/>
    <x v="3"/>
    <x v="2"/>
    <n v="2.5"/>
    <x v="24"/>
    <x v="74"/>
    <x v="3"/>
    <x v="2"/>
    <x v="1"/>
  </r>
  <r>
    <x v="632"/>
    <x v="505"/>
    <x v="610"/>
    <x v="17"/>
    <n v="6"/>
    <x v="610"/>
    <s v="cwassif@prweb.com"/>
    <x v="0"/>
    <x v="2"/>
    <x v="0"/>
    <n v="1"/>
    <x v="15"/>
    <x v="173"/>
    <x v="2"/>
    <x v="0"/>
    <x v="1"/>
  </r>
  <r>
    <x v="633"/>
    <x v="506"/>
    <x v="611"/>
    <x v="45"/>
    <n v="6"/>
    <x v="611"/>
    <s v="isjostromig@pbs.org"/>
    <x v="0"/>
    <x v="1"/>
    <x v="2"/>
    <n v="1"/>
    <x v="37"/>
    <x v="118"/>
    <x v="1"/>
    <x v="2"/>
    <x v="1"/>
  </r>
  <r>
    <x v="633"/>
    <x v="506"/>
    <x v="611"/>
    <x v="12"/>
    <n v="2"/>
    <x v="611"/>
    <s v="isjostromig@pbs.org"/>
    <x v="0"/>
    <x v="3"/>
    <x v="2"/>
    <n v="0.2"/>
    <x v="10"/>
    <x v="41"/>
    <x v="3"/>
    <x v="2"/>
    <x v="1"/>
  </r>
  <r>
    <x v="634"/>
    <x v="507"/>
    <x v="612"/>
    <x v="30"/>
    <n v="4"/>
    <x v="612"/>
    <s v="jbranchettii@bravesites.com"/>
    <x v="0"/>
    <x v="2"/>
    <x v="2"/>
    <n v="2.5"/>
    <x v="11"/>
    <x v="21"/>
    <x v="2"/>
    <x v="2"/>
    <x v="1"/>
  </r>
  <r>
    <x v="635"/>
    <x v="508"/>
    <x v="613"/>
    <x v="9"/>
    <n v="6"/>
    <x v="613"/>
    <s v="nrudlandij@blogs.com"/>
    <x v="1"/>
    <x v="2"/>
    <x v="2"/>
    <n v="1"/>
    <x v="0"/>
    <x v="33"/>
    <x v="2"/>
    <x v="2"/>
    <x v="1"/>
  </r>
  <r>
    <x v="636"/>
    <x v="509"/>
    <x v="605"/>
    <x v="4"/>
    <n v="5"/>
    <x v="605"/>
    <s v="jmillettik@addtoany.com"/>
    <x v="0"/>
    <x v="0"/>
    <x v="1"/>
    <n v="2.5"/>
    <x v="4"/>
    <x v="187"/>
    <x v="0"/>
    <x v="1"/>
    <x v="0"/>
  </r>
  <r>
    <x v="637"/>
    <x v="131"/>
    <x v="614"/>
    <x v="43"/>
    <n v="2"/>
    <x v="614"/>
    <s v="ftourryil@google.de"/>
    <x v="0"/>
    <x v="3"/>
    <x v="0"/>
    <n v="2.5"/>
    <x v="36"/>
    <x v="174"/>
    <x v="3"/>
    <x v="0"/>
    <x v="1"/>
  </r>
  <r>
    <x v="638"/>
    <x v="510"/>
    <x v="615"/>
    <x v="21"/>
    <n v="3"/>
    <x v="615"/>
    <s v="cweatherallim@toplist.cz"/>
    <x v="0"/>
    <x v="3"/>
    <x v="0"/>
    <n v="0.2"/>
    <x v="18"/>
    <x v="73"/>
    <x v="3"/>
    <x v="0"/>
    <x v="0"/>
  </r>
  <r>
    <x v="639"/>
    <x v="511"/>
    <x v="616"/>
    <x v="41"/>
    <n v="5"/>
    <x v="616"/>
    <s v="gheindrickin@usda.gov"/>
    <x v="0"/>
    <x v="0"/>
    <x v="1"/>
    <n v="1"/>
    <x v="35"/>
    <x v="143"/>
    <x v="0"/>
    <x v="1"/>
    <x v="1"/>
  </r>
  <r>
    <x v="640"/>
    <x v="512"/>
    <x v="617"/>
    <x v="22"/>
    <n v="5"/>
    <x v="617"/>
    <s v="limasonio@discuz.net"/>
    <x v="0"/>
    <x v="3"/>
    <x v="0"/>
    <n v="0.5"/>
    <x v="19"/>
    <x v="34"/>
    <x v="3"/>
    <x v="0"/>
    <x v="0"/>
  </r>
  <r>
    <x v="641"/>
    <x v="513"/>
    <x v="618"/>
    <x v="3"/>
    <n v="6"/>
    <x v="618"/>
    <s v="hsaillip@odnoklassniki.ru"/>
    <x v="0"/>
    <x v="1"/>
    <x v="0"/>
    <n v="1"/>
    <x v="3"/>
    <x v="121"/>
    <x v="1"/>
    <x v="0"/>
    <x v="0"/>
  </r>
  <r>
    <x v="642"/>
    <x v="514"/>
    <x v="619"/>
    <x v="44"/>
    <n v="6"/>
    <x v="619"/>
    <s v="hlarvoriq@last.fm"/>
    <x v="0"/>
    <x v="2"/>
    <x v="1"/>
    <n v="2.5"/>
    <x v="24"/>
    <x v="39"/>
    <x v="2"/>
    <x v="1"/>
    <x v="0"/>
  </r>
  <r>
    <x v="643"/>
    <x v="7"/>
    <x v="620"/>
    <x v="27"/>
    <n v="4"/>
    <x v="620"/>
    <s v=""/>
    <x v="0"/>
    <x v="3"/>
    <x v="2"/>
    <n v="2.5"/>
    <x v="24"/>
    <x v="129"/>
    <x v="3"/>
    <x v="2"/>
    <x v="0"/>
  </r>
  <r>
    <x v="644"/>
    <x v="481"/>
    <x v="621"/>
    <x v="23"/>
    <n v="5"/>
    <x v="621"/>
    <s v=""/>
    <x v="0"/>
    <x v="3"/>
    <x v="1"/>
    <n v="0.5"/>
    <x v="20"/>
    <x v="46"/>
    <x v="3"/>
    <x v="1"/>
    <x v="1"/>
  </r>
  <r>
    <x v="645"/>
    <x v="515"/>
    <x v="622"/>
    <x v="22"/>
    <n v="5"/>
    <x v="622"/>
    <s v="cpenwardenit@mlb.com"/>
    <x v="1"/>
    <x v="3"/>
    <x v="0"/>
    <n v="0.5"/>
    <x v="19"/>
    <x v="34"/>
    <x v="3"/>
    <x v="0"/>
    <x v="1"/>
  </r>
  <r>
    <x v="646"/>
    <x v="516"/>
    <x v="623"/>
    <x v="44"/>
    <n v="6"/>
    <x v="623"/>
    <s v="mmiddisiu@dmoz.org"/>
    <x v="0"/>
    <x v="2"/>
    <x v="1"/>
    <n v="2.5"/>
    <x v="24"/>
    <x v="39"/>
    <x v="2"/>
    <x v="1"/>
    <x v="0"/>
  </r>
  <r>
    <x v="647"/>
    <x v="517"/>
    <x v="624"/>
    <x v="4"/>
    <n v="1"/>
    <x v="624"/>
    <s v="avairowiv@studiopress.com"/>
    <x v="2"/>
    <x v="0"/>
    <x v="1"/>
    <n v="2.5"/>
    <x v="4"/>
    <x v="142"/>
    <x v="0"/>
    <x v="1"/>
    <x v="1"/>
  </r>
  <r>
    <x v="648"/>
    <x v="518"/>
    <x v="625"/>
    <x v="17"/>
    <n v="5"/>
    <x v="625"/>
    <s v="agoldieiw@goo.gl"/>
    <x v="0"/>
    <x v="2"/>
    <x v="0"/>
    <n v="1"/>
    <x v="15"/>
    <x v="126"/>
    <x v="2"/>
    <x v="0"/>
    <x v="1"/>
  </r>
  <r>
    <x v="649"/>
    <x v="519"/>
    <x v="626"/>
    <x v="7"/>
    <n v="2"/>
    <x v="626"/>
    <s v="nayrisix@t-online.de"/>
    <x v="2"/>
    <x v="3"/>
    <x v="1"/>
    <n v="0.2"/>
    <x v="6"/>
    <x v="54"/>
    <x v="3"/>
    <x v="1"/>
    <x v="0"/>
  </r>
  <r>
    <x v="650"/>
    <x v="520"/>
    <x v="627"/>
    <x v="18"/>
    <n v="2"/>
    <x v="627"/>
    <s v="lbenediktovichiy@wunderground.com"/>
    <x v="0"/>
    <x v="1"/>
    <x v="0"/>
    <n v="0.2"/>
    <x v="16"/>
    <x v="112"/>
    <x v="1"/>
    <x v="0"/>
    <x v="0"/>
  </r>
  <r>
    <x v="651"/>
    <x v="521"/>
    <x v="628"/>
    <x v="31"/>
    <n v="6"/>
    <x v="628"/>
    <s v="tjacobovitziz@cbc.ca"/>
    <x v="0"/>
    <x v="3"/>
    <x v="2"/>
    <n v="0.5"/>
    <x v="26"/>
    <x v="162"/>
    <x v="3"/>
    <x v="2"/>
    <x v="1"/>
  </r>
  <r>
    <x v="652"/>
    <x v="418"/>
    <x v="629"/>
    <x v="41"/>
    <n v="6"/>
    <x v="629"/>
    <s v=""/>
    <x v="0"/>
    <x v="0"/>
    <x v="1"/>
    <n v="1"/>
    <x v="35"/>
    <x v="144"/>
    <x v="0"/>
    <x v="1"/>
    <x v="1"/>
  </r>
  <r>
    <x v="653"/>
    <x v="122"/>
    <x v="630"/>
    <x v="26"/>
    <n v="2"/>
    <x v="630"/>
    <s v="jdruittj1@feedburner.com"/>
    <x v="0"/>
    <x v="3"/>
    <x v="1"/>
    <n v="2.5"/>
    <x v="23"/>
    <x v="37"/>
    <x v="3"/>
    <x v="1"/>
    <x v="0"/>
  </r>
  <r>
    <x v="654"/>
    <x v="423"/>
    <x v="631"/>
    <x v="25"/>
    <n v="3"/>
    <x v="631"/>
    <s v="dshortallj2@wikipedia.org"/>
    <x v="0"/>
    <x v="0"/>
    <x v="2"/>
    <n v="0.2"/>
    <x v="22"/>
    <x v="36"/>
    <x v="0"/>
    <x v="2"/>
    <x v="0"/>
  </r>
  <r>
    <x v="655"/>
    <x v="463"/>
    <x v="632"/>
    <x v="1"/>
    <n v="2"/>
    <x v="632"/>
    <s v="wcottierj3@cafepress.com"/>
    <x v="0"/>
    <x v="1"/>
    <x v="0"/>
    <n v="0.5"/>
    <x v="1"/>
    <x v="38"/>
    <x v="1"/>
    <x v="0"/>
    <x v="1"/>
  </r>
  <r>
    <x v="656"/>
    <x v="273"/>
    <x v="633"/>
    <x v="2"/>
    <n v="5"/>
    <x v="633"/>
    <s v="kgrinstedj4@google.com.br"/>
    <x v="1"/>
    <x v="2"/>
    <x v="1"/>
    <n v="1"/>
    <x v="2"/>
    <x v="188"/>
    <x v="2"/>
    <x v="1"/>
    <x v="1"/>
  </r>
  <r>
    <x v="657"/>
    <x v="522"/>
    <x v="634"/>
    <x v="19"/>
    <n v="5"/>
    <x v="634"/>
    <s v="dskynerj5@hubpages.com"/>
    <x v="0"/>
    <x v="2"/>
    <x v="0"/>
    <n v="0.5"/>
    <x v="17"/>
    <x v="65"/>
    <x v="2"/>
    <x v="0"/>
    <x v="1"/>
  </r>
  <r>
    <x v="658"/>
    <x v="523"/>
    <x v="635"/>
    <x v="27"/>
    <n v="6"/>
    <x v="635"/>
    <s v=""/>
    <x v="0"/>
    <x v="3"/>
    <x v="2"/>
    <n v="2.5"/>
    <x v="24"/>
    <x v="39"/>
    <x v="3"/>
    <x v="2"/>
    <x v="1"/>
  </r>
  <r>
    <x v="659"/>
    <x v="260"/>
    <x v="636"/>
    <x v="17"/>
    <n v="2"/>
    <x v="636"/>
    <s v="jdymokeje@prnewswire.com"/>
    <x v="1"/>
    <x v="2"/>
    <x v="0"/>
    <n v="1"/>
    <x v="15"/>
    <x v="122"/>
    <x v="2"/>
    <x v="0"/>
    <x v="1"/>
  </r>
  <r>
    <x v="660"/>
    <x v="331"/>
    <x v="637"/>
    <x v="5"/>
    <n v="1"/>
    <x v="637"/>
    <s v="aweinmannj8@shinystat.com"/>
    <x v="0"/>
    <x v="3"/>
    <x v="2"/>
    <n v="1"/>
    <x v="2"/>
    <x v="2"/>
    <x v="3"/>
    <x v="2"/>
    <x v="1"/>
  </r>
  <r>
    <x v="661"/>
    <x v="524"/>
    <x v="638"/>
    <x v="37"/>
    <n v="2"/>
    <x v="638"/>
    <s v="eandriessenj9@europa.eu"/>
    <x v="0"/>
    <x v="2"/>
    <x v="0"/>
    <n v="2.5"/>
    <x v="31"/>
    <x v="95"/>
    <x v="2"/>
    <x v="0"/>
    <x v="0"/>
  </r>
  <r>
    <x v="662"/>
    <x v="525"/>
    <x v="639"/>
    <x v="6"/>
    <n v="5"/>
    <x v="639"/>
    <s v="rdeaconsonja@archive.org"/>
    <x v="0"/>
    <x v="1"/>
    <x v="2"/>
    <n v="0.5"/>
    <x v="5"/>
    <x v="114"/>
    <x v="1"/>
    <x v="2"/>
    <x v="1"/>
  </r>
  <r>
    <x v="663"/>
    <x v="526"/>
    <x v="640"/>
    <x v="26"/>
    <n v="5"/>
    <x v="640"/>
    <s v="dcarojb@twitter.com"/>
    <x v="0"/>
    <x v="3"/>
    <x v="1"/>
    <n v="2.5"/>
    <x v="23"/>
    <x v="134"/>
    <x v="3"/>
    <x v="1"/>
    <x v="0"/>
  </r>
  <r>
    <x v="664"/>
    <x v="104"/>
    <x v="641"/>
    <x v="31"/>
    <n v="4"/>
    <x v="641"/>
    <s v="jbluckjc@imageshack.us"/>
    <x v="0"/>
    <x v="3"/>
    <x v="2"/>
    <n v="0.5"/>
    <x v="26"/>
    <x v="113"/>
    <x v="3"/>
    <x v="2"/>
    <x v="1"/>
  </r>
  <r>
    <x v="665"/>
    <x v="491"/>
    <x v="642"/>
    <x v="19"/>
    <n v="3"/>
    <x v="642"/>
    <s v=""/>
    <x v="1"/>
    <x v="2"/>
    <x v="0"/>
    <n v="0.5"/>
    <x v="17"/>
    <x v="16"/>
    <x v="2"/>
    <x v="0"/>
    <x v="1"/>
  </r>
  <r>
    <x v="666"/>
    <x v="157"/>
    <x v="636"/>
    <x v="5"/>
    <n v="2"/>
    <x v="636"/>
    <s v="jdymokeje@prnewswire.com"/>
    <x v="1"/>
    <x v="3"/>
    <x v="2"/>
    <n v="1"/>
    <x v="2"/>
    <x v="109"/>
    <x v="3"/>
    <x v="2"/>
    <x v="1"/>
  </r>
  <r>
    <x v="667"/>
    <x v="527"/>
    <x v="643"/>
    <x v="20"/>
    <n v="4"/>
    <x v="643"/>
    <s v="otadmanjf@ft.com"/>
    <x v="0"/>
    <x v="2"/>
    <x v="2"/>
    <n v="0.5"/>
    <x v="7"/>
    <x v="86"/>
    <x v="2"/>
    <x v="2"/>
    <x v="0"/>
  </r>
  <r>
    <x v="668"/>
    <x v="528"/>
    <x v="644"/>
    <x v="23"/>
    <n v="2"/>
    <x v="644"/>
    <s v="bguddejg@dailymotion.com"/>
    <x v="0"/>
    <x v="3"/>
    <x v="1"/>
    <n v="0.5"/>
    <x v="20"/>
    <x v="81"/>
    <x v="3"/>
    <x v="1"/>
    <x v="1"/>
  </r>
  <r>
    <x v="669"/>
    <x v="99"/>
    <x v="645"/>
    <x v="20"/>
    <n v="5"/>
    <x v="645"/>
    <s v="nsictornesjh@buzzfeed.com"/>
    <x v="1"/>
    <x v="2"/>
    <x v="2"/>
    <n v="0.5"/>
    <x v="7"/>
    <x v="44"/>
    <x v="2"/>
    <x v="2"/>
    <x v="0"/>
  </r>
  <r>
    <x v="670"/>
    <x v="529"/>
    <x v="646"/>
    <x v="42"/>
    <n v="1"/>
    <x v="646"/>
    <s v="vdunningji@independent.co.uk"/>
    <x v="0"/>
    <x v="2"/>
    <x v="1"/>
    <n v="0.5"/>
    <x v="26"/>
    <x v="41"/>
    <x v="2"/>
    <x v="1"/>
    <x v="0"/>
  </r>
  <r>
    <x v="671"/>
    <x v="530"/>
    <x v="647"/>
    <x v="27"/>
    <n v="4"/>
    <x v="647"/>
    <s v=""/>
    <x v="1"/>
    <x v="3"/>
    <x v="2"/>
    <n v="2.5"/>
    <x v="24"/>
    <x v="129"/>
    <x v="3"/>
    <x v="2"/>
    <x v="0"/>
  </r>
  <r>
    <x v="672"/>
    <x v="531"/>
    <x v="648"/>
    <x v="15"/>
    <n v="6"/>
    <x v="648"/>
    <s v=""/>
    <x v="0"/>
    <x v="1"/>
    <x v="2"/>
    <n v="0.2"/>
    <x v="13"/>
    <x v="6"/>
    <x v="1"/>
    <x v="2"/>
    <x v="0"/>
  </r>
  <r>
    <x v="673"/>
    <x v="210"/>
    <x v="649"/>
    <x v="38"/>
    <n v="2"/>
    <x v="649"/>
    <s v="sgehringjl@gnu.org"/>
    <x v="0"/>
    <x v="1"/>
    <x v="1"/>
    <n v="0.5"/>
    <x v="32"/>
    <x v="58"/>
    <x v="1"/>
    <x v="1"/>
    <x v="1"/>
  </r>
  <r>
    <x v="674"/>
    <x v="532"/>
    <x v="650"/>
    <x v="18"/>
    <n v="3"/>
    <x v="650"/>
    <s v="bfallowesjm@purevolume.com"/>
    <x v="0"/>
    <x v="1"/>
    <x v="0"/>
    <n v="0.2"/>
    <x v="16"/>
    <x v="24"/>
    <x v="1"/>
    <x v="0"/>
    <x v="1"/>
  </r>
  <r>
    <x v="675"/>
    <x v="533"/>
    <x v="651"/>
    <x v="5"/>
    <n v="2"/>
    <x v="651"/>
    <s v=""/>
    <x v="1"/>
    <x v="3"/>
    <x v="2"/>
    <n v="1"/>
    <x v="2"/>
    <x v="109"/>
    <x v="3"/>
    <x v="2"/>
    <x v="1"/>
  </r>
  <r>
    <x v="676"/>
    <x v="534"/>
    <x v="652"/>
    <x v="19"/>
    <n v="2"/>
    <x v="652"/>
    <s v="sdejo@newsvine.com"/>
    <x v="0"/>
    <x v="2"/>
    <x v="0"/>
    <n v="0.5"/>
    <x v="17"/>
    <x v="72"/>
    <x v="2"/>
    <x v="0"/>
    <x v="0"/>
  </r>
  <r>
    <x v="677"/>
    <x v="535"/>
    <x v="653"/>
    <x v="38"/>
    <n v="2"/>
    <x v="653"/>
    <s v=""/>
    <x v="0"/>
    <x v="1"/>
    <x v="1"/>
    <n v="0.5"/>
    <x v="32"/>
    <x v="58"/>
    <x v="1"/>
    <x v="1"/>
    <x v="0"/>
  </r>
  <r>
    <x v="678"/>
    <x v="536"/>
    <x v="654"/>
    <x v="1"/>
    <n v="3"/>
    <x v="654"/>
    <s v="scountjq@nba.com"/>
    <x v="0"/>
    <x v="1"/>
    <x v="0"/>
    <n v="0.5"/>
    <x v="1"/>
    <x v="167"/>
    <x v="1"/>
    <x v="0"/>
    <x v="1"/>
  </r>
  <r>
    <x v="679"/>
    <x v="537"/>
    <x v="655"/>
    <x v="36"/>
    <n v="6"/>
    <x v="655"/>
    <s v="sraglesjr@blogtalkradio.com"/>
    <x v="0"/>
    <x v="0"/>
    <x v="0"/>
    <n v="0.2"/>
    <x v="14"/>
    <x v="8"/>
    <x v="0"/>
    <x v="0"/>
    <x v="1"/>
  </r>
  <r>
    <x v="680"/>
    <x v="61"/>
    <x v="656"/>
    <x v="1"/>
    <n v="2"/>
    <x v="656"/>
    <s v=""/>
    <x v="2"/>
    <x v="1"/>
    <x v="0"/>
    <n v="0.5"/>
    <x v="1"/>
    <x v="38"/>
    <x v="1"/>
    <x v="0"/>
    <x v="1"/>
  </r>
  <r>
    <x v="681"/>
    <x v="242"/>
    <x v="657"/>
    <x v="36"/>
    <n v="1"/>
    <x v="657"/>
    <s v="sbruunjt@blogtalkradio.com"/>
    <x v="0"/>
    <x v="0"/>
    <x v="0"/>
    <n v="0.2"/>
    <x v="14"/>
    <x v="55"/>
    <x v="0"/>
    <x v="0"/>
    <x v="1"/>
  </r>
  <r>
    <x v="682"/>
    <x v="299"/>
    <x v="658"/>
    <x v="15"/>
    <n v="4"/>
    <x v="658"/>
    <s v="aplluju@dagondesign.com"/>
    <x v="1"/>
    <x v="1"/>
    <x v="2"/>
    <n v="0.2"/>
    <x v="13"/>
    <x v="20"/>
    <x v="1"/>
    <x v="2"/>
    <x v="0"/>
  </r>
  <r>
    <x v="683"/>
    <x v="343"/>
    <x v="659"/>
    <x v="33"/>
    <n v="6"/>
    <x v="659"/>
    <s v="gcornierjv@techcrunch.com"/>
    <x v="0"/>
    <x v="1"/>
    <x v="1"/>
    <n v="1"/>
    <x v="28"/>
    <x v="146"/>
    <x v="1"/>
    <x v="1"/>
    <x v="1"/>
  </r>
  <r>
    <x v="684"/>
    <x v="538"/>
    <x v="636"/>
    <x v="41"/>
    <n v="3"/>
    <x v="636"/>
    <s v="jdymokeje@prnewswire.com"/>
    <x v="1"/>
    <x v="0"/>
    <x v="1"/>
    <n v="1"/>
    <x v="35"/>
    <x v="66"/>
    <x v="0"/>
    <x v="1"/>
    <x v="1"/>
  </r>
  <r>
    <x v="685"/>
    <x v="539"/>
    <x v="660"/>
    <x v="30"/>
    <n v="3"/>
    <x v="660"/>
    <s v="wharvisonjx@gizmodo.com"/>
    <x v="0"/>
    <x v="2"/>
    <x v="2"/>
    <n v="2.5"/>
    <x v="11"/>
    <x v="96"/>
    <x v="2"/>
    <x v="2"/>
    <x v="1"/>
  </r>
  <r>
    <x v="686"/>
    <x v="27"/>
    <x v="661"/>
    <x v="5"/>
    <n v="3"/>
    <x v="661"/>
    <s v="dheafordjy@twitpic.com"/>
    <x v="0"/>
    <x v="3"/>
    <x v="2"/>
    <n v="1"/>
    <x v="2"/>
    <x v="5"/>
    <x v="3"/>
    <x v="2"/>
    <x v="1"/>
  </r>
  <r>
    <x v="687"/>
    <x v="540"/>
    <x v="662"/>
    <x v="32"/>
    <n v="5"/>
    <x v="662"/>
    <s v="gfanthamjz@hexun.com"/>
    <x v="0"/>
    <x v="3"/>
    <x v="1"/>
    <n v="1"/>
    <x v="27"/>
    <x v="180"/>
    <x v="3"/>
    <x v="1"/>
    <x v="0"/>
  </r>
  <r>
    <x v="688"/>
    <x v="541"/>
    <x v="663"/>
    <x v="6"/>
    <n v="5"/>
    <x v="663"/>
    <s v="rcrookshanksk0@unc.edu"/>
    <x v="0"/>
    <x v="1"/>
    <x v="2"/>
    <n v="0.5"/>
    <x v="5"/>
    <x v="114"/>
    <x v="1"/>
    <x v="2"/>
    <x v="0"/>
  </r>
  <r>
    <x v="689"/>
    <x v="390"/>
    <x v="664"/>
    <x v="36"/>
    <n v="3"/>
    <x v="664"/>
    <s v="nleakek1@cmu.edu"/>
    <x v="0"/>
    <x v="0"/>
    <x v="0"/>
    <n v="0.2"/>
    <x v="14"/>
    <x v="169"/>
    <x v="0"/>
    <x v="0"/>
    <x v="0"/>
  </r>
  <r>
    <x v="690"/>
    <x v="396"/>
    <x v="665"/>
    <x v="45"/>
    <n v="2"/>
    <x v="665"/>
    <s v=""/>
    <x v="0"/>
    <x v="1"/>
    <x v="2"/>
    <n v="1"/>
    <x v="37"/>
    <x v="76"/>
    <x v="1"/>
    <x v="2"/>
    <x v="1"/>
  </r>
  <r>
    <x v="691"/>
    <x v="185"/>
    <x v="666"/>
    <x v="28"/>
    <n v="2"/>
    <x v="666"/>
    <s v="geilhersenk3@networksolutions.com"/>
    <x v="0"/>
    <x v="1"/>
    <x v="0"/>
    <n v="2.5"/>
    <x v="25"/>
    <x v="40"/>
    <x v="1"/>
    <x v="0"/>
    <x v="1"/>
  </r>
  <r>
    <x v="692"/>
    <x v="542"/>
    <x v="667"/>
    <x v="14"/>
    <n v="2"/>
    <x v="667"/>
    <s v=""/>
    <x v="0"/>
    <x v="2"/>
    <x v="0"/>
    <n v="0.2"/>
    <x v="12"/>
    <x v="52"/>
    <x v="2"/>
    <x v="0"/>
    <x v="0"/>
  </r>
  <r>
    <x v="693"/>
    <x v="117"/>
    <x v="668"/>
    <x v="29"/>
    <n v="6"/>
    <x v="668"/>
    <s v="caleixok5@globo.com"/>
    <x v="0"/>
    <x v="2"/>
    <x v="1"/>
    <n v="0.2"/>
    <x v="10"/>
    <x v="102"/>
    <x v="2"/>
    <x v="1"/>
    <x v="1"/>
  </r>
  <r>
    <x v="694"/>
    <x v="543"/>
    <x v="669"/>
    <x v="26"/>
    <n v="4"/>
    <x v="669"/>
    <s v=""/>
    <x v="0"/>
    <x v="3"/>
    <x v="1"/>
    <n v="2.5"/>
    <x v="23"/>
    <x v="43"/>
    <x v="3"/>
    <x v="1"/>
    <x v="1"/>
  </r>
  <r>
    <x v="695"/>
    <x v="544"/>
    <x v="670"/>
    <x v="8"/>
    <n v="5"/>
    <x v="670"/>
    <s v="rtomkowiczk7@bravesites.com"/>
    <x v="1"/>
    <x v="0"/>
    <x v="0"/>
    <n v="0.5"/>
    <x v="7"/>
    <x v="44"/>
    <x v="0"/>
    <x v="0"/>
    <x v="0"/>
  </r>
  <r>
    <x v="696"/>
    <x v="545"/>
    <x v="671"/>
    <x v="6"/>
    <n v="3"/>
    <x v="671"/>
    <s v="rhuscroftk8@jimdo.com"/>
    <x v="0"/>
    <x v="1"/>
    <x v="2"/>
    <n v="0.5"/>
    <x v="5"/>
    <x v="6"/>
    <x v="1"/>
    <x v="2"/>
    <x v="0"/>
  </r>
  <r>
    <x v="697"/>
    <x v="546"/>
    <x v="672"/>
    <x v="21"/>
    <n v="1"/>
    <x v="672"/>
    <s v="sscurrerk9@flavors.me"/>
    <x v="2"/>
    <x v="3"/>
    <x v="0"/>
    <n v="0.2"/>
    <x v="18"/>
    <x v="189"/>
    <x v="3"/>
    <x v="0"/>
    <x v="1"/>
  </r>
  <r>
    <x v="698"/>
    <x v="420"/>
    <x v="673"/>
    <x v="26"/>
    <n v="1"/>
    <x v="673"/>
    <s v="arudramka@prnewswire.com"/>
    <x v="0"/>
    <x v="3"/>
    <x v="1"/>
    <n v="2.5"/>
    <x v="23"/>
    <x v="133"/>
    <x v="3"/>
    <x v="1"/>
    <x v="1"/>
  </r>
  <r>
    <x v="699"/>
    <x v="547"/>
    <x v="674"/>
    <x v="12"/>
    <n v="4"/>
    <x v="674"/>
    <s v=""/>
    <x v="0"/>
    <x v="3"/>
    <x v="2"/>
    <n v="0.2"/>
    <x v="10"/>
    <x v="42"/>
    <x v="3"/>
    <x v="2"/>
    <x v="0"/>
  </r>
  <r>
    <x v="700"/>
    <x v="548"/>
    <x v="675"/>
    <x v="46"/>
    <n v="2"/>
    <x v="675"/>
    <s v="jmahakc@cyberchimps.com"/>
    <x v="0"/>
    <x v="1"/>
    <x v="1"/>
    <n v="0.2"/>
    <x v="38"/>
    <x v="161"/>
    <x v="1"/>
    <x v="1"/>
    <x v="1"/>
  </r>
  <r>
    <x v="701"/>
    <x v="549"/>
    <x v="676"/>
    <x v="43"/>
    <n v="3"/>
    <x v="676"/>
    <s v="gclemonkd@networksolutions.com"/>
    <x v="0"/>
    <x v="3"/>
    <x v="0"/>
    <n v="2.5"/>
    <x v="36"/>
    <x v="64"/>
    <x v="3"/>
    <x v="0"/>
    <x v="0"/>
  </r>
  <r>
    <x v="702"/>
    <x v="550"/>
    <x v="677"/>
    <x v="25"/>
    <n v="5"/>
    <x v="677"/>
    <s v=""/>
    <x v="0"/>
    <x v="0"/>
    <x v="2"/>
    <n v="0.2"/>
    <x v="22"/>
    <x v="148"/>
    <x v="0"/>
    <x v="2"/>
    <x v="1"/>
  </r>
  <r>
    <x v="703"/>
    <x v="551"/>
    <x v="678"/>
    <x v="15"/>
    <n v="6"/>
    <x v="678"/>
    <s v="bpollinskf@shinystat.com"/>
    <x v="0"/>
    <x v="1"/>
    <x v="2"/>
    <n v="0.2"/>
    <x v="13"/>
    <x v="6"/>
    <x v="1"/>
    <x v="2"/>
    <x v="1"/>
  </r>
  <r>
    <x v="704"/>
    <x v="552"/>
    <x v="679"/>
    <x v="5"/>
    <n v="2"/>
    <x v="679"/>
    <s v="jtoyekg@pinterest.com"/>
    <x v="1"/>
    <x v="3"/>
    <x v="2"/>
    <n v="1"/>
    <x v="2"/>
    <x v="109"/>
    <x v="3"/>
    <x v="2"/>
    <x v="0"/>
  </r>
  <r>
    <x v="705"/>
    <x v="553"/>
    <x v="680"/>
    <x v="17"/>
    <n v="5"/>
    <x v="680"/>
    <s v="clinskillkh@sphinn.com"/>
    <x v="0"/>
    <x v="2"/>
    <x v="0"/>
    <n v="1"/>
    <x v="15"/>
    <x v="126"/>
    <x v="2"/>
    <x v="0"/>
    <x v="1"/>
  </r>
  <r>
    <x v="706"/>
    <x v="554"/>
    <x v="681"/>
    <x v="40"/>
    <n v="3"/>
    <x v="681"/>
    <s v="nvigrasski@ezinearticles.com"/>
    <x v="2"/>
    <x v="0"/>
    <x v="1"/>
    <n v="0.2"/>
    <x v="34"/>
    <x v="127"/>
    <x v="0"/>
    <x v="1"/>
    <x v="1"/>
  </r>
  <r>
    <x v="707"/>
    <x v="555"/>
    <x v="636"/>
    <x v="15"/>
    <n v="5"/>
    <x v="636"/>
    <s v="jdymokeje@prnewswire.com"/>
    <x v="1"/>
    <x v="1"/>
    <x v="2"/>
    <n v="0.2"/>
    <x v="13"/>
    <x v="94"/>
    <x v="1"/>
    <x v="2"/>
    <x v="1"/>
  </r>
  <r>
    <x v="708"/>
    <x v="150"/>
    <x v="682"/>
    <x v="35"/>
    <n v="4"/>
    <x v="682"/>
    <s v="kcragellkk@google.com"/>
    <x v="1"/>
    <x v="0"/>
    <x v="1"/>
    <n v="0.5"/>
    <x v="30"/>
    <x v="139"/>
    <x v="0"/>
    <x v="1"/>
    <x v="1"/>
  </r>
  <r>
    <x v="709"/>
    <x v="556"/>
    <x v="683"/>
    <x v="21"/>
    <n v="2"/>
    <x v="683"/>
    <s v="libertkl@huffingtonpost.com"/>
    <x v="0"/>
    <x v="3"/>
    <x v="0"/>
    <n v="0.2"/>
    <x v="18"/>
    <x v="31"/>
    <x v="3"/>
    <x v="0"/>
    <x v="1"/>
  </r>
  <r>
    <x v="710"/>
    <x v="327"/>
    <x v="684"/>
    <x v="24"/>
    <n v="4"/>
    <x v="684"/>
    <s v="rlidgeykm@vimeo.com"/>
    <x v="0"/>
    <x v="3"/>
    <x v="0"/>
    <n v="1"/>
    <x v="21"/>
    <x v="125"/>
    <x v="3"/>
    <x v="0"/>
    <x v="1"/>
  </r>
  <r>
    <x v="711"/>
    <x v="557"/>
    <x v="685"/>
    <x v="20"/>
    <n v="3"/>
    <x v="685"/>
    <s v="tcastagnekn@wikia.com"/>
    <x v="0"/>
    <x v="2"/>
    <x v="2"/>
    <n v="0.5"/>
    <x v="7"/>
    <x v="8"/>
    <x v="2"/>
    <x v="2"/>
    <x v="1"/>
  </r>
  <r>
    <x v="712"/>
    <x v="333"/>
    <x v="686"/>
    <x v="36"/>
    <n v="6"/>
    <x v="686"/>
    <s v=""/>
    <x v="0"/>
    <x v="0"/>
    <x v="0"/>
    <n v="0.2"/>
    <x v="14"/>
    <x v="8"/>
    <x v="0"/>
    <x v="0"/>
    <x v="0"/>
  </r>
  <r>
    <x v="713"/>
    <x v="558"/>
    <x v="687"/>
    <x v="6"/>
    <n v="2"/>
    <x v="687"/>
    <s v="jhaldenkp@comcast.net"/>
    <x v="1"/>
    <x v="1"/>
    <x v="2"/>
    <n v="0.5"/>
    <x v="5"/>
    <x v="20"/>
    <x v="1"/>
    <x v="2"/>
    <x v="1"/>
  </r>
  <r>
    <x v="714"/>
    <x v="559"/>
    <x v="688"/>
    <x v="17"/>
    <n v="3"/>
    <x v="688"/>
    <s v="holliffkq@sciencedirect.com"/>
    <x v="1"/>
    <x v="2"/>
    <x v="0"/>
    <n v="1"/>
    <x v="15"/>
    <x v="65"/>
    <x v="2"/>
    <x v="0"/>
    <x v="1"/>
  </r>
  <r>
    <x v="715"/>
    <x v="310"/>
    <x v="689"/>
    <x v="22"/>
    <n v="4"/>
    <x v="689"/>
    <s v="tquadrikr@opensource.org"/>
    <x v="1"/>
    <x v="3"/>
    <x v="0"/>
    <n v="0.5"/>
    <x v="19"/>
    <x v="190"/>
    <x v="3"/>
    <x v="0"/>
    <x v="0"/>
  </r>
  <r>
    <x v="716"/>
    <x v="560"/>
    <x v="690"/>
    <x v="6"/>
    <n v="2"/>
    <x v="690"/>
    <s v="feshmadeks@umn.edu"/>
    <x v="0"/>
    <x v="1"/>
    <x v="2"/>
    <n v="0.5"/>
    <x v="5"/>
    <x v="20"/>
    <x v="1"/>
    <x v="2"/>
    <x v="1"/>
  </r>
  <r>
    <x v="717"/>
    <x v="561"/>
    <x v="691"/>
    <x v="25"/>
    <n v="2"/>
    <x v="691"/>
    <s v="moilierkt@paginegialle.it"/>
    <x v="1"/>
    <x v="0"/>
    <x v="2"/>
    <n v="0.2"/>
    <x v="22"/>
    <x v="147"/>
    <x v="0"/>
    <x v="2"/>
    <x v="0"/>
  </r>
  <r>
    <x v="718"/>
    <x v="562"/>
    <x v="692"/>
    <x v="8"/>
    <n v="1"/>
    <x v="692"/>
    <s v=""/>
    <x v="0"/>
    <x v="0"/>
    <x v="0"/>
    <n v="0.5"/>
    <x v="7"/>
    <x v="9"/>
    <x v="0"/>
    <x v="0"/>
    <x v="0"/>
  </r>
  <r>
    <x v="719"/>
    <x v="563"/>
    <x v="693"/>
    <x v="23"/>
    <n v="2"/>
    <x v="693"/>
    <s v="vshoebothamkv@redcross.org"/>
    <x v="0"/>
    <x v="3"/>
    <x v="1"/>
    <n v="0.5"/>
    <x v="20"/>
    <x v="81"/>
    <x v="3"/>
    <x v="1"/>
    <x v="1"/>
  </r>
  <r>
    <x v="720"/>
    <x v="564"/>
    <x v="694"/>
    <x v="3"/>
    <n v="2"/>
    <x v="694"/>
    <s v="bsterkekw@biblegateway.com"/>
    <x v="0"/>
    <x v="1"/>
    <x v="0"/>
    <n v="1"/>
    <x v="3"/>
    <x v="3"/>
    <x v="1"/>
    <x v="0"/>
    <x v="0"/>
  </r>
  <r>
    <x v="721"/>
    <x v="565"/>
    <x v="695"/>
    <x v="20"/>
    <n v="5"/>
    <x v="695"/>
    <s v="scaponkx@craigslist.org"/>
    <x v="0"/>
    <x v="2"/>
    <x v="2"/>
    <n v="0.5"/>
    <x v="7"/>
    <x v="44"/>
    <x v="2"/>
    <x v="2"/>
    <x v="1"/>
  </r>
  <r>
    <x v="722"/>
    <x v="566"/>
    <x v="636"/>
    <x v="16"/>
    <n v="6"/>
    <x v="636"/>
    <s v="jdymokeje@prnewswire.com"/>
    <x v="1"/>
    <x v="2"/>
    <x v="2"/>
    <n v="0.2"/>
    <x v="14"/>
    <x v="8"/>
    <x v="2"/>
    <x v="2"/>
    <x v="1"/>
  </r>
  <r>
    <x v="723"/>
    <x v="160"/>
    <x v="696"/>
    <x v="7"/>
    <n v="6"/>
    <x v="696"/>
    <s v="fconstancekz@ifeng.com"/>
    <x v="0"/>
    <x v="3"/>
    <x v="1"/>
    <n v="0.2"/>
    <x v="6"/>
    <x v="32"/>
    <x v="3"/>
    <x v="1"/>
    <x v="1"/>
  </r>
  <r>
    <x v="724"/>
    <x v="567"/>
    <x v="697"/>
    <x v="39"/>
    <n v="4"/>
    <x v="697"/>
    <s v="fsulmanl0@washington.edu"/>
    <x v="0"/>
    <x v="0"/>
    <x v="2"/>
    <n v="1"/>
    <x v="33"/>
    <x v="191"/>
    <x v="0"/>
    <x v="2"/>
    <x v="0"/>
  </r>
  <r>
    <x v="725"/>
    <x v="568"/>
    <x v="698"/>
    <x v="20"/>
    <n v="3"/>
    <x v="698"/>
    <s v="dhollymanl1@ibm.com"/>
    <x v="0"/>
    <x v="2"/>
    <x v="2"/>
    <n v="0.5"/>
    <x v="7"/>
    <x v="8"/>
    <x v="2"/>
    <x v="2"/>
    <x v="0"/>
  </r>
  <r>
    <x v="726"/>
    <x v="569"/>
    <x v="699"/>
    <x v="39"/>
    <n v="1"/>
    <x v="699"/>
    <s v="lnardonil2@hao123.com"/>
    <x v="0"/>
    <x v="0"/>
    <x v="2"/>
    <n v="1"/>
    <x v="33"/>
    <x v="192"/>
    <x v="0"/>
    <x v="2"/>
    <x v="1"/>
  </r>
  <r>
    <x v="727"/>
    <x v="570"/>
    <x v="700"/>
    <x v="27"/>
    <n v="1"/>
    <x v="700"/>
    <s v="dyarhaml3@moonfruit.com"/>
    <x v="0"/>
    <x v="3"/>
    <x v="2"/>
    <n v="2.5"/>
    <x v="24"/>
    <x v="91"/>
    <x v="3"/>
    <x v="2"/>
    <x v="0"/>
  </r>
  <r>
    <x v="728"/>
    <x v="571"/>
    <x v="701"/>
    <x v="38"/>
    <n v="5"/>
    <x v="701"/>
    <s v="aferreal4@wikia.com"/>
    <x v="0"/>
    <x v="1"/>
    <x v="1"/>
    <n v="0.5"/>
    <x v="32"/>
    <x v="69"/>
    <x v="1"/>
    <x v="1"/>
    <x v="1"/>
  </r>
  <r>
    <x v="729"/>
    <x v="139"/>
    <x v="702"/>
    <x v="33"/>
    <n v="6"/>
    <x v="702"/>
    <s v="ckendrickl5@webnode.com"/>
    <x v="0"/>
    <x v="1"/>
    <x v="1"/>
    <n v="1"/>
    <x v="28"/>
    <x v="146"/>
    <x v="1"/>
    <x v="1"/>
    <x v="0"/>
  </r>
  <r>
    <x v="730"/>
    <x v="303"/>
    <x v="703"/>
    <x v="22"/>
    <n v="5"/>
    <x v="703"/>
    <s v="sdanilchikl6@mit.edu"/>
    <x v="2"/>
    <x v="3"/>
    <x v="0"/>
    <n v="0.5"/>
    <x v="19"/>
    <x v="34"/>
    <x v="3"/>
    <x v="0"/>
    <x v="1"/>
  </r>
  <r>
    <x v="731"/>
    <x v="572"/>
    <x v="704"/>
    <x v="42"/>
    <n v="3"/>
    <x v="704"/>
    <s v=""/>
    <x v="0"/>
    <x v="2"/>
    <x v="1"/>
    <n v="0.5"/>
    <x v="26"/>
    <x v="102"/>
    <x v="2"/>
    <x v="1"/>
    <x v="1"/>
  </r>
  <r>
    <x v="732"/>
    <x v="573"/>
    <x v="705"/>
    <x v="44"/>
    <n v="6"/>
    <x v="705"/>
    <s v="bfolomkinl8@yolasite.com"/>
    <x v="0"/>
    <x v="2"/>
    <x v="1"/>
    <n v="2.5"/>
    <x v="24"/>
    <x v="39"/>
    <x v="2"/>
    <x v="1"/>
    <x v="0"/>
  </r>
  <r>
    <x v="733"/>
    <x v="574"/>
    <x v="706"/>
    <x v="0"/>
    <n v="6"/>
    <x v="706"/>
    <s v="rpursglovel9@biblegateway.com"/>
    <x v="0"/>
    <x v="0"/>
    <x v="0"/>
    <n v="1"/>
    <x v="0"/>
    <x v="33"/>
    <x v="0"/>
    <x v="0"/>
    <x v="0"/>
  </r>
  <r>
    <x v="733"/>
    <x v="574"/>
    <x v="706"/>
    <x v="42"/>
    <n v="2"/>
    <x v="706"/>
    <s v="rpursglovel9@biblegateway.com"/>
    <x v="0"/>
    <x v="2"/>
    <x v="1"/>
    <n v="0.5"/>
    <x v="26"/>
    <x v="42"/>
    <x v="2"/>
    <x v="1"/>
    <x v="0"/>
  </r>
  <r>
    <x v="734"/>
    <x v="455"/>
    <x v="696"/>
    <x v="44"/>
    <n v="3"/>
    <x v="696"/>
    <s v="fconstancekz@ifeng.com"/>
    <x v="0"/>
    <x v="2"/>
    <x v="1"/>
    <n v="2.5"/>
    <x v="24"/>
    <x v="49"/>
    <x v="2"/>
    <x v="1"/>
    <x v="1"/>
  </r>
  <r>
    <x v="735"/>
    <x v="575"/>
    <x v="696"/>
    <x v="41"/>
    <n v="2"/>
    <x v="696"/>
    <s v="fconstancekz@ifeng.com"/>
    <x v="0"/>
    <x v="0"/>
    <x v="1"/>
    <n v="1"/>
    <x v="35"/>
    <x v="178"/>
    <x v="0"/>
    <x v="1"/>
    <x v="1"/>
  </r>
  <r>
    <x v="736"/>
    <x v="576"/>
    <x v="707"/>
    <x v="13"/>
    <n v="6"/>
    <x v="707"/>
    <s v="deburahld@google.co.jp"/>
    <x v="2"/>
    <x v="0"/>
    <x v="0"/>
    <n v="2.5"/>
    <x v="11"/>
    <x v="170"/>
    <x v="0"/>
    <x v="0"/>
    <x v="1"/>
  </r>
  <r>
    <x v="737"/>
    <x v="577"/>
    <x v="708"/>
    <x v="9"/>
    <n v="1"/>
    <x v="708"/>
    <s v="mbrimilcombele@cnn.com"/>
    <x v="0"/>
    <x v="2"/>
    <x v="2"/>
    <n v="1"/>
    <x v="0"/>
    <x v="138"/>
    <x v="2"/>
    <x v="2"/>
    <x v="1"/>
  </r>
  <r>
    <x v="738"/>
    <x v="578"/>
    <x v="709"/>
    <x v="35"/>
    <n v="3"/>
    <x v="709"/>
    <s v="sbollamlf@list-manage.com"/>
    <x v="0"/>
    <x v="0"/>
    <x v="1"/>
    <n v="0.5"/>
    <x v="30"/>
    <x v="137"/>
    <x v="0"/>
    <x v="1"/>
    <x v="1"/>
  </r>
  <r>
    <x v="739"/>
    <x v="579"/>
    <x v="710"/>
    <x v="3"/>
    <n v="6"/>
    <x v="710"/>
    <s v=""/>
    <x v="0"/>
    <x v="1"/>
    <x v="0"/>
    <n v="1"/>
    <x v="3"/>
    <x v="121"/>
    <x v="1"/>
    <x v="0"/>
    <x v="1"/>
  </r>
  <r>
    <x v="740"/>
    <x v="91"/>
    <x v="711"/>
    <x v="21"/>
    <n v="2"/>
    <x v="711"/>
    <s v="afilipczaklh@ning.com"/>
    <x v="1"/>
    <x v="3"/>
    <x v="0"/>
    <n v="0.2"/>
    <x v="18"/>
    <x v="31"/>
    <x v="3"/>
    <x v="0"/>
    <x v="1"/>
  </r>
  <r>
    <x v="741"/>
    <x v="272"/>
    <x v="712"/>
    <x v="0"/>
    <n v="2"/>
    <x v="712"/>
    <s v=""/>
    <x v="0"/>
    <x v="0"/>
    <x v="0"/>
    <n v="1"/>
    <x v="0"/>
    <x v="0"/>
    <x v="0"/>
    <x v="0"/>
    <x v="0"/>
  </r>
  <r>
    <x v="742"/>
    <x v="65"/>
    <x v="713"/>
    <x v="38"/>
    <n v="2"/>
    <x v="713"/>
    <s v="relnaughlj@comsenz.com"/>
    <x v="0"/>
    <x v="1"/>
    <x v="1"/>
    <n v="0.5"/>
    <x v="32"/>
    <x v="58"/>
    <x v="1"/>
    <x v="1"/>
    <x v="0"/>
  </r>
  <r>
    <x v="743"/>
    <x v="580"/>
    <x v="714"/>
    <x v="19"/>
    <n v="3"/>
    <x v="714"/>
    <s v="jdeehanlk@about.me"/>
    <x v="0"/>
    <x v="2"/>
    <x v="0"/>
    <n v="0.5"/>
    <x v="17"/>
    <x v="16"/>
    <x v="2"/>
    <x v="0"/>
    <x v="1"/>
  </r>
  <r>
    <x v="744"/>
    <x v="581"/>
    <x v="715"/>
    <x v="44"/>
    <n v="2"/>
    <x v="715"/>
    <s v="jedenll@e-recht24.de"/>
    <x v="0"/>
    <x v="2"/>
    <x v="1"/>
    <n v="2.5"/>
    <x v="24"/>
    <x v="120"/>
    <x v="2"/>
    <x v="1"/>
    <x v="1"/>
  </r>
  <r>
    <x v="745"/>
    <x v="489"/>
    <x v="716"/>
    <x v="23"/>
    <n v="2"/>
    <x v="716"/>
    <s v="cjewsterlu@moonfruit.com"/>
    <x v="0"/>
    <x v="3"/>
    <x v="1"/>
    <n v="0.5"/>
    <x v="20"/>
    <x v="81"/>
    <x v="3"/>
    <x v="1"/>
    <x v="0"/>
  </r>
  <r>
    <x v="746"/>
    <x v="234"/>
    <x v="717"/>
    <x v="5"/>
    <n v="6"/>
    <x v="717"/>
    <s v="usoutherdenln@hao123.com"/>
    <x v="0"/>
    <x v="3"/>
    <x v="2"/>
    <n v="1"/>
    <x v="2"/>
    <x v="17"/>
    <x v="3"/>
    <x v="2"/>
    <x v="0"/>
  </r>
  <r>
    <x v="747"/>
    <x v="175"/>
    <x v="718"/>
    <x v="3"/>
    <n v="3"/>
    <x v="718"/>
    <s v=""/>
    <x v="0"/>
    <x v="1"/>
    <x v="0"/>
    <n v="1"/>
    <x v="3"/>
    <x v="1"/>
    <x v="1"/>
    <x v="0"/>
    <x v="1"/>
  </r>
  <r>
    <x v="748"/>
    <x v="582"/>
    <x v="719"/>
    <x v="26"/>
    <n v="4"/>
    <x v="719"/>
    <s v="lburtenshawlp@shinystat.com"/>
    <x v="0"/>
    <x v="3"/>
    <x v="1"/>
    <n v="2.5"/>
    <x v="23"/>
    <x v="43"/>
    <x v="3"/>
    <x v="1"/>
    <x v="1"/>
  </r>
  <r>
    <x v="749"/>
    <x v="583"/>
    <x v="720"/>
    <x v="46"/>
    <n v="6"/>
    <x v="720"/>
    <s v="agregorattilq@vistaprint.com"/>
    <x v="1"/>
    <x v="1"/>
    <x v="1"/>
    <n v="0.2"/>
    <x v="38"/>
    <x v="149"/>
    <x v="1"/>
    <x v="1"/>
    <x v="1"/>
  </r>
  <r>
    <x v="750"/>
    <x v="548"/>
    <x v="721"/>
    <x v="22"/>
    <n v="5"/>
    <x v="721"/>
    <s v="ccrosterlr@gov.uk"/>
    <x v="0"/>
    <x v="3"/>
    <x v="0"/>
    <n v="0.5"/>
    <x v="19"/>
    <x v="34"/>
    <x v="3"/>
    <x v="0"/>
    <x v="0"/>
  </r>
  <r>
    <x v="751"/>
    <x v="584"/>
    <x v="722"/>
    <x v="32"/>
    <n v="2"/>
    <x v="722"/>
    <s v="gwhiteheadls@hp.com"/>
    <x v="0"/>
    <x v="3"/>
    <x v="1"/>
    <n v="1"/>
    <x v="27"/>
    <x v="124"/>
    <x v="3"/>
    <x v="1"/>
    <x v="1"/>
  </r>
  <r>
    <x v="752"/>
    <x v="64"/>
    <x v="723"/>
    <x v="30"/>
    <n v="1"/>
    <x v="723"/>
    <s v="hjodrellelt@samsung.com"/>
    <x v="0"/>
    <x v="2"/>
    <x v="2"/>
    <n v="2.5"/>
    <x v="11"/>
    <x v="156"/>
    <x v="2"/>
    <x v="2"/>
    <x v="1"/>
  </r>
  <r>
    <x v="753"/>
    <x v="585"/>
    <x v="716"/>
    <x v="47"/>
    <n v="1"/>
    <x v="716"/>
    <s v="cjewsterlu@moonfruit.com"/>
    <x v="0"/>
    <x v="1"/>
    <x v="2"/>
    <n v="2.5"/>
    <x v="39"/>
    <x v="140"/>
    <x v="1"/>
    <x v="2"/>
    <x v="0"/>
  </r>
  <r>
    <x v="754"/>
    <x v="32"/>
    <x v="724"/>
    <x v="3"/>
    <n v="6"/>
    <x v="724"/>
    <s v=""/>
    <x v="0"/>
    <x v="1"/>
    <x v="0"/>
    <n v="1"/>
    <x v="3"/>
    <x v="121"/>
    <x v="1"/>
    <x v="0"/>
    <x v="0"/>
  </r>
  <r>
    <x v="755"/>
    <x v="586"/>
    <x v="725"/>
    <x v="13"/>
    <n v="2"/>
    <x v="725"/>
    <s v="knottramlw@odnoklassniki.ru"/>
    <x v="1"/>
    <x v="0"/>
    <x v="0"/>
    <n v="2.5"/>
    <x v="11"/>
    <x v="135"/>
    <x v="0"/>
    <x v="0"/>
    <x v="0"/>
  </r>
  <r>
    <x v="756"/>
    <x v="535"/>
    <x v="726"/>
    <x v="2"/>
    <n v="6"/>
    <x v="726"/>
    <s v="nbuneylx@jugem.jp"/>
    <x v="0"/>
    <x v="2"/>
    <x v="1"/>
    <n v="1"/>
    <x v="2"/>
    <x v="17"/>
    <x v="2"/>
    <x v="1"/>
    <x v="1"/>
  </r>
  <r>
    <x v="757"/>
    <x v="587"/>
    <x v="727"/>
    <x v="42"/>
    <n v="3"/>
    <x v="727"/>
    <s v="smcshealy@photobucket.com"/>
    <x v="0"/>
    <x v="2"/>
    <x v="1"/>
    <n v="0.5"/>
    <x v="26"/>
    <x v="102"/>
    <x v="2"/>
    <x v="1"/>
    <x v="1"/>
  </r>
  <r>
    <x v="758"/>
    <x v="393"/>
    <x v="728"/>
    <x v="7"/>
    <n v="5"/>
    <x v="728"/>
    <s v="khuddartlz@about.com"/>
    <x v="0"/>
    <x v="3"/>
    <x v="1"/>
    <n v="0.2"/>
    <x v="6"/>
    <x v="29"/>
    <x v="3"/>
    <x v="1"/>
    <x v="0"/>
  </r>
  <r>
    <x v="759"/>
    <x v="588"/>
    <x v="729"/>
    <x v="22"/>
    <n v="6"/>
    <x v="729"/>
    <s v="jgippesm0@cloudflare.com"/>
    <x v="2"/>
    <x v="3"/>
    <x v="0"/>
    <n v="0.5"/>
    <x v="19"/>
    <x v="28"/>
    <x v="3"/>
    <x v="0"/>
    <x v="0"/>
  </r>
  <r>
    <x v="760"/>
    <x v="15"/>
    <x v="730"/>
    <x v="40"/>
    <n v="5"/>
    <x v="730"/>
    <s v="lwhittleseem1@e-recht24.de"/>
    <x v="0"/>
    <x v="0"/>
    <x v="1"/>
    <n v="0.2"/>
    <x v="34"/>
    <x v="131"/>
    <x v="0"/>
    <x v="1"/>
    <x v="1"/>
  </r>
  <r>
    <x v="761"/>
    <x v="507"/>
    <x v="731"/>
    <x v="44"/>
    <n v="5"/>
    <x v="731"/>
    <s v="gtrengrovem2@elpais.com"/>
    <x v="0"/>
    <x v="2"/>
    <x v="1"/>
    <n v="2.5"/>
    <x v="24"/>
    <x v="74"/>
    <x v="2"/>
    <x v="1"/>
    <x v="1"/>
  </r>
  <r>
    <x v="762"/>
    <x v="533"/>
    <x v="732"/>
    <x v="35"/>
    <n v="4"/>
    <x v="732"/>
    <s v="wcalderom3@stumbleupon.com"/>
    <x v="0"/>
    <x v="0"/>
    <x v="1"/>
    <n v="0.5"/>
    <x v="30"/>
    <x v="139"/>
    <x v="0"/>
    <x v="1"/>
    <x v="1"/>
  </r>
  <r>
    <x v="763"/>
    <x v="589"/>
    <x v="733"/>
    <x v="23"/>
    <n v="1"/>
    <x v="733"/>
    <s v=""/>
    <x v="0"/>
    <x v="3"/>
    <x v="1"/>
    <n v="0.5"/>
    <x v="20"/>
    <x v="54"/>
    <x v="3"/>
    <x v="1"/>
    <x v="1"/>
  </r>
  <r>
    <x v="764"/>
    <x v="590"/>
    <x v="734"/>
    <x v="42"/>
    <n v="4"/>
    <x v="734"/>
    <s v="jkennicottm5@yahoo.co.jp"/>
    <x v="0"/>
    <x v="2"/>
    <x v="1"/>
    <n v="0.5"/>
    <x v="26"/>
    <x v="113"/>
    <x v="2"/>
    <x v="1"/>
    <x v="1"/>
  </r>
  <r>
    <x v="765"/>
    <x v="457"/>
    <x v="735"/>
    <x v="25"/>
    <n v="3"/>
    <x v="735"/>
    <s v="gruggenm6@nymag.com"/>
    <x v="0"/>
    <x v="0"/>
    <x v="2"/>
    <n v="0.2"/>
    <x v="22"/>
    <x v="36"/>
    <x v="0"/>
    <x v="2"/>
    <x v="0"/>
  </r>
  <r>
    <x v="766"/>
    <x v="591"/>
    <x v="736"/>
    <x v="45"/>
    <n v="3"/>
    <x v="736"/>
    <s v=""/>
    <x v="0"/>
    <x v="1"/>
    <x v="2"/>
    <n v="1"/>
    <x v="37"/>
    <x v="114"/>
    <x v="1"/>
    <x v="2"/>
    <x v="0"/>
  </r>
  <r>
    <x v="767"/>
    <x v="592"/>
    <x v="737"/>
    <x v="25"/>
    <n v="6"/>
    <x v="737"/>
    <s v="mfrightm8@harvard.edu"/>
    <x v="1"/>
    <x v="0"/>
    <x v="2"/>
    <n v="0.2"/>
    <x v="22"/>
    <x v="103"/>
    <x v="0"/>
    <x v="2"/>
    <x v="1"/>
  </r>
  <r>
    <x v="768"/>
    <x v="402"/>
    <x v="738"/>
    <x v="11"/>
    <n v="2"/>
    <x v="738"/>
    <s v="btartem9@aol.com"/>
    <x v="0"/>
    <x v="0"/>
    <x v="2"/>
    <n v="2.5"/>
    <x v="9"/>
    <x v="13"/>
    <x v="0"/>
    <x v="2"/>
    <x v="0"/>
  </r>
  <r>
    <x v="769"/>
    <x v="593"/>
    <x v="739"/>
    <x v="25"/>
    <n v="4"/>
    <x v="739"/>
    <s v="ckrzysztofiakma@skyrock.com"/>
    <x v="0"/>
    <x v="0"/>
    <x v="2"/>
    <n v="0.2"/>
    <x v="22"/>
    <x v="175"/>
    <x v="0"/>
    <x v="2"/>
    <x v="1"/>
  </r>
  <r>
    <x v="770"/>
    <x v="594"/>
    <x v="740"/>
    <x v="28"/>
    <n v="4"/>
    <x v="740"/>
    <s v="dpenquetmb@diigo.com"/>
    <x v="0"/>
    <x v="1"/>
    <x v="0"/>
    <n v="2.5"/>
    <x v="25"/>
    <x v="177"/>
    <x v="1"/>
    <x v="0"/>
    <x v="1"/>
  </r>
  <r>
    <x v="771"/>
    <x v="77"/>
    <x v="741"/>
    <x v="41"/>
    <n v="2"/>
    <x v="741"/>
    <s v=""/>
    <x v="2"/>
    <x v="0"/>
    <x v="1"/>
    <n v="1"/>
    <x v="35"/>
    <x v="178"/>
    <x v="0"/>
    <x v="1"/>
    <x v="1"/>
  </r>
  <r>
    <x v="772"/>
    <x v="595"/>
    <x v="742"/>
    <x v="8"/>
    <n v="1"/>
    <x v="742"/>
    <s v=""/>
    <x v="0"/>
    <x v="0"/>
    <x v="0"/>
    <n v="0.5"/>
    <x v="7"/>
    <x v="9"/>
    <x v="0"/>
    <x v="0"/>
    <x v="1"/>
  </r>
  <r>
    <x v="773"/>
    <x v="596"/>
    <x v="743"/>
    <x v="12"/>
    <n v="2"/>
    <x v="743"/>
    <s v=""/>
    <x v="2"/>
    <x v="3"/>
    <x v="2"/>
    <n v="0.2"/>
    <x v="10"/>
    <x v="41"/>
    <x v="3"/>
    <x v="2"/>
    <x v="0"/>
  </r>
  <r>
    <x v="774"/>
    <x v="514"/>
    <x v="744"/>
    <x v="31"/>
    <n v="3"/>
    <x v="744"/>
    <s v="kferrettimf@huffingtonpost.com"/>
    <x v="1"/>
    <x v="3"/>
    <x v="2"/>
    <n v="0.5"/>
    <x v="26"/>
    <x v="102"/>
    <x v="3"/>
    <x v="2"/>
    <x v="1"/>
  </r>
  <r>
    <x v="775"/>
    <x v="54"/>
    <x v="745"/>
    <x v="4"/>
    <n v="5"/>
    <x v="745"/>
    <s v=""/>
    <x v="0"/>
    <x v="0"/>
    <x v="1"/>
    <n v="2.5"/>
    <x v="4"/>
    <x v="187"/>
    <x v="0"/>
    <x v="1"/>
    <x v="1"/>
  </r>
  <r>
    <x v="776"/>
    <x v="597"/>
    <x v="746"/>
    <x v="25"/>
    <n v="3"/>
    <x v="746"/>
    <s v=""/>
    <x v="0"/>
    <x v="0"/>
    <x v="2"/>
    <n v="0.2"/>
    <x v="22"/>
    <x v="36"/>
    <x v="0"/>
    <x v="2"/>
    <x v="0"/>
  </r>
  <r>
    <x v="777"/>
    <x v="105"/>
    <x v="747"/>
    <x v="23"/>
    <n v="3"/>
    <x v="747"/>
    <s v="abalsdonemi@toplist.cz"/>
    <x v="0"/>
    <x v="3"/>
    <x v="1"/>
    <n v="0.5"/>
    <x v="20"/>
    <x v="32"/>
    <x v="3"/>
    <x v="1"/>
    <x v="1"/>
  </r>
  <r>
    <x v="778"/>
    <x v="210"/>
    <x v="748"/>
    <x v="17"/>
    <n v="6"/>
    <x v="748"/>
    <s v="bromeramj@list-manage.com"/>
    <x v="1"/>
    <x v="2"/>
    <x v="0"/>
    <n v="1"/>
    <x v="15"/>
    <x v="173"/>
    <x v="2"/>
    <x v="0"/>
    <x v="0"/>
  </r>
  <r>
    <x v="778"/>
    <x v="210"/>
    <x v="748"/>
    <x v="27"/>
    <n v="6"/>
    <x v="748"/>
    <s v="bromeramj@list-manage.com"/>
    <x v="1"/>
    <x v="3"/>
    <x v="2"/>
    <n v="2.5"/>
    <x v="24"/>
    <x v="39"/>
    <x v="3"/>
    <x v="2"/>
    <x v="0"/>
  </r>
  <r>
    <x v="779"/>
    <x v="598"/>
    <x v="749"/>
    <x v="28"/>
    <n v="1"/>
    <x v="749"/>
    <s v="cbrydeml@tuttocitta.it"/>
    <x v="0"/>
    <x v="1"/>
    <x v="0"/>
    <n v="2.5"/>
    <x v="25"/>
    <x v="176"/>
    <x v="1"/>
    <x v="0"/>
    <x v="0"/>
  </r>
  <r>
    <x v="780"/>
    <x v="360"/>
    <x v="750"/>
    <x v="46"/>
    <n v="2"/>
    <x v="750"/>
    <s v="senefermm@blog.com"/>
    <x v="0"/>
    <x v="1"/>
    <x v="1"/>
    <n v="0.2"/>
    <x v="38"/>
    <x v="161"/>
    <x v="1"/>
    <x v="1"/>
    <x v="1"/>
  </r>
  <r>
    <x v="781"/>
    <x v="62"/>
    <x v="751"/>
    <x v="8"/>
    <n v="6"/>
    <x v="751"/>
    <s v="lhaggerstonemn@independent.co.uk"/>
    <x v="0"/>
    <x v="0"/>
    <x v="0"/>
    <n v="0.5"/>
    <x v="7"/>
    <x v="27"/>
    <x v="0"/>
    <x v="0"/>
    <x v="1"/>
  </r>
  <r>
    <x v="782"/>
    <x v="599"/>
    <x v="752"/>
    <x v="23"/>
    <n v="4"/>
    <x v="752"/>
    <s v="mgundrymo@omniture.com"/>
    <x v="1"/>
    <x v="3"/>
    <x v="1"/>
    <n v="0.5"/>
    <x v="20"/>
    <x v="82"/>
    <x v="3"/>
    <x v="1"/>
    <x v="1"/>
  </r>
  <r>
    <x v="783"/>
    <x v="600"/>
    <x v="753"/>
    <x v="31"/>
    <n v="2"/>
    <x v="753"/>
    <s v="bwellanmp@cafepress.com"/>
    <x v="0"/>
    <x v="3"/>
    <x v="2"/>
    <n v="0.5"/>
    <x v="26"/>
    <x v="42"/>
    <x v="3"/>
    <x v="2"/>
    <x v="1"/>
  </r>
  <r>
    <x v="784"/>
    <x v="601"/>
    <x v="745"/>
    <x v="32"/>
    <n v="5"/>
    <x v="745"/>
    <s v=""/>
    <x v="0"/>
    <x v="3"/>
    <x v="1"/>
    <n v="1"/>
    <x v="27"/>
    <x v="180"/>
    <x v="3"/>
    <x v="1"/>
    <x v="1"/>
  </r>
  <r>
    <x v="785"/>
    <x v="602"/>
    <x v="754"/>
    <x v="7"/>
    <n v="1"/>
    <x v="754"/>
    <s v="catchesonmr@xinhuanet.com"/>
    <x v="0"/>
    <x v="3"/>
    <x v="1"/>
    <n v="0.2"/>
    <x v="6"/>
    <x v="7"/>
    <x v="3"/>
    <x v="1"/>
    <x v="0"/>
  </r>
  <r>
    <x v="786"/>
    <x v="603"/>
    <x v="755"/>
    <x v="3"/>
    <n v="4"/>
    <x v="755"/>
    <s v="estentonms@google.it"/>
    <x v="0"/>
    <x v="1"/>
    <x v="0"/>
    <n v="1"/>
    <x v="3"/>
    <x v="193"/>
    <x v="1"/>
    <x v="0"/>
    <x v="0"/>
  </r>
  <r>
    <x v="787"/>
    <x v="604"/>
    <x v="756"/>
    <x v="34"/>
    <n v="5"/>
    <x v="756"/>
    <s v="etrippmt@wp.com"/>
    <x v="0"/>
    <x v="0"/>
    <x v="2"/>
    <n v="0.5"/>
    <x v="29"/>
    <x v="51"/>
    <x v="0"/>
    <x v="2"/>
    <x v="1"/>
  </r>
  <r>
    <x v="788"/>
    <x v="605"/>
    <x v="757"/>
    <x v="10"/>
    <n v="4"/>
    <x v="757"/>
    <s v="lmacmanusmu@imdb.com"/>
    <x v="0"/>
    <x v="1"/>
    <x v="1"/>
    <n v="2.5"/>
    <x v="8"/>
    <x v="56"/>
    <x v="1"/>
    <x v="1"/>
    <x v="1"/>
  </r>
  <r>
    <x v="789"/>
    <x v="606"/>
    <x v="758"/>
    <x v="32"/>
    <n v="3"/>
    <x v="758"/>
    <s v="tbenediktovichmv@ebay.com"/>
    <x v="0"/>
    <x v="3"/>
    <x v="1"/>
    <n v="1"/>
    <x v="27"/>
    <x v="46"/>
    <x v="3"/>
    <x v="1"/>
    <x v="0"/>
  </r>
  <r>
    <x v="790"/>
    <x v="446"/>
    <x v="759"/>
    <x v="14"/>
    <n v="5"/>
    <x v="759"/>
    <s v="cbournermw@chronoengine.com"/>
    <x v="0"/>
    <x v="2"/>
    <x v="0"/>
    <n v="0.2"/>
    <x v="12"/>
    <x v="19"/>
    <x v="2"/>
    <x v="0"/>
    <x v="0"/>
  </r>
  <r>
    <x v="791"/>
    <x v="18"/>
    <x v="760"/>
    <x v="9"/>
    <n v="3"/>
    <x v="760"/>
    <s v="oskermen3@hatena.ne.jp"/>
    <x v="0"/>
    <x v="2"/>
    <x v="2"/>
    <n v="1"/>
    <x v="0"/>
    <x v="44"/>
    <x v="2"/>
    <x v="2"/>
    <x v="0"/>
  </r>
  <r>
    <x v="792"/>
    <x v="180"/>
    <x v="761"/>
    <x v="1"/>
    <n v="5"/>
    <x v="761"/>
    <s v="kheddanmy@icq.com"/>
    <x v="0"/>
    <x v="1"/>
    <x v="0"/>
    <n v="0.5"/>
    <x v="1"/>
    <x v="1"/>
    <x v="1"/>
    <x v="0"/>
    <x v="0"/>
  </r>
  <r>
    <x v="793"/>
    <x v="580"/>
    <x v="762"/>
    <x v="18"/>
    <n v="5"/>
    <x v="762"/>
    <s v="ichartersmz@abc.net.au"/>
    <x v="0"/>
    <x v="1"/>
    <x v="0"/>
    <n v="0.2"/>
    <x v="16"/>
    <x v="132"/>
    <x v="1"/>
    <x v="0"/>
    <x v="1"/>
  </r>
  <r>
    <x v="794"/>
    <x v="453"/>
    <x v="763"/>
    <x v="30"/>
    <n v="6"/>
    <x v="763"/>
    <s v="aroubertn0@tmall.com"/>
    <x v="0"/>
    <x v="2"/>
    <x v="2"/>
    <n v="2.5"/>
    <x v="11"/>
    <x v="170"/>
    <x v="2"/>
    <x v="2"/>
    <x v="0"/>
  </r>
  <r>
    <x v="795"/>
    <x v="259"/>
    <x v="764"/>
    <x v="16"/>
    <n v="1"/>
    <x v="764"/>
    <s v="hmairsn1@so-net.ne.jp"/>
    <x v="0"/>
    <x v="2"/>
    <x v="2"/>
    <n v="0.2"/>
    <x v="14"/>
    <x v="55"/>
    <x v="2"/>
    <x v="2"/>
    <x v="1"/>
  </r>
  <r>
    <x v="796"/>
    <x v="607"/>
    <x v="765"/>
    <x v="3"/>
    <n v="2"/>
    <x v="765"/>
    <s v="hrainforthn2@blog.com"/>
    <x v="0"/>
    <x v="1"/>
    <x v="0"/>
    <n v="1"/>
    <x v="3"/>
    <x v="3"/>
    <x v="1"/>
    <x v="0"/>
    <x v="1"/>
  </r>
  <r>
    <x v="796"/>
    <x v="607"/>
    <x v="765"/>
    <x v="16"/>
    <n v="2"/>
    <x v="765"/>
    <s v="hrainforthn2@blog.com"/>
    <x v="0"/>
    <x v="2"/>
    <x v="2"/>
    <n v="0.2"/>
    <x v="14"/>
    <x v="9"/>
    <x v="2"/>
    <x v="2"/>
    <x v="1"/>
  </r>
  <r>
    <x v="797"/>
    <x v="385"/>
    <x v="766"/>
    <x v="0"/>
    <n v="6"/>
    <x v="766"/>
    <s v="ijespern4@theglobeandmail.com"/>
    <x v="0"/>
    <x v="0"/>
    <x v="0"/>
    <n v="1"/>
    <x v="0"/>
    <x v="33"/>
    <x v="0"/>
    <x v="0"/>
    <x v="1"/>
  </r>
  <r>
    <x v="798"/>
    <x v="608"/>
    <x v="767"/>
    <x v="11"/>
    <n v="4"/>
    <x v="767"/>
    <s v="ldwerryhousen5@gravatar.com"/>
    <x v="0"/>
    <x v="0"/>
    <x v="2"/>
    <n v="2.5"/>
    <x v="9"/>
    <x v="18"/>
    <x v="0"/>
    <x v="2"/>
    <x v="0"/>
  </r>
  <r>
    <x v="799"/>
    <x v="609"/>
    <x v="768"/>
    <x v="30"/>
    <n v="1"/>
    <x v="768"/>
    <s v="nbroomern6@examiner.com"/>
    <x v="0"/>
    <x v="2"/>
    <x v="2"/>
    <n v="2.5"/>
    <x v="11"/>
    <x v="156"/>
    <x v="2"/>
    <x v="2"/>
    <x v="1"/>
  </r>
  <r>
    <x v="800"/>
    <x v="147"/>
    <x v="769"/>
    <x v="38"/>
    <n v="1"/>
    <x v="769"/>
    <s v="kthoumassonn7@bloglovin.com"/>
    <x v="0"/>
    <x v="1"/>
    <x v="1"/>
    <n v="0.5"/>
    <x v="32"/>
    <x v="161"/>
    <x v="1"/>
    <x v="1"/>
    <x v="0"/>
  </r>
  <r>
    <x v="801"/>
    <x v="172"/>
    <x v="770"/>
    <x v="16"/>
    <n v="4"/>
    <x v="770"/>
    <s v="fhabberghamn8@discovery.com"/>
    <x v="0"/>
    <x v="2"/>
    <x v="2"/>
    <n v="0.2"/>
    <x v="14"/>
    <x v="22"/>
    <x v="2"/>
    <x v="2"/>
    <x v="1"/>
  </r>
  <r>
    <x v="802"/>
    <x v="610"/>
    <x v="745"/>
    <x v="43"/>
    <n v="3"/>
    <x v="745"/>
    <s v=""/>
    <x v="0"/>
    <x v="3"/>
    <x v="0"/>
    <n v="2.5"/>
    <x v="36"/>
    <x v="64"/>
    <x v="3"/>
    <x v="0"/>
    <x v="1"/>
  </r>
  <r>
    <x v="803"/>
    <x v="611"/>
    <x v="771"/>
    <x v="30"/>
    <n v="5"/>
    <x v="771"/>
    <s v="ravrashinna@tamu.edu"/>
    <x v="0"/>
    <x v="2"/>
    <x v="2"/>
    <n v="2.5"/>
    <x v="11"/>
    <x v="15"/>
    <x v="2"/>
    <x v="2"/>
    <x v="1"/>
  </r>
  <r>
    <x v="804"/>
    <x v="612"/>
    <x v="772"/>
    <x v="1"/>
    <n v="5"/>
    <x v="772"/>
    <s v="mdoidgenb@etsy.com"/>
    <x v="0"/>
    <x v="1"/>
    <x v="0"/>
    <n v="0.5"/>
    <x v="1"/>
    <x v="1"/>
    <x v="1"/>
    <x v="0"/>
    <x v="1"/>
  </r>
  <r>
    <x v="805"/>
    <x v="613"/>
    <x v="773"/>
    <x v="35"/>
    <n v="4"/>
    <x v="773"/>
    <s v="jedinboronc@reverbnation.com"/>
    <x v="0"/>
    <x v="0"/>
    <x v="1"/>
    <n v="0.5"/>
    <x v="30"/>
    <x v="139"/>
    <x v="0"/>
    <x v="1"/>
    <x v="0"/>
  </r>
  <r>
    <x v="806"/>
    <x v="611"/>
    <x v="774"/>
    <x v="21"/>
    <n v="1"/>
    <x v="774"/>
    <s v="ttewelsonnd@cdbaby.com"/>
    <x v="0"/>
    <x v="3"/>
    <x v="0"/>
    <n v="0.2"/>
    <x v="18"/>
    <x v="189"/>
    <x v="3"/>
    <x v="0"/>
    <x v="1"/>
  </r>
  <r>
    <x v="807"/>
    <x v="493"/>
    <x v="760"/>
    <x v="18"/>
    <n v="2"/>
    <x v="760"/>
    <s v="oskermen3@hatena.ne.jp"/>
    <x v="0"/>
    <x v="1"/>
    <x v="0"/>
    <n v="0.2"/>
    <x v="16"/>
    <x v="112"/>
    <x v="1"/>
    <x v="0"/>
    <x v="0"/>
  </r>
  <r>
    <x v="808"/>
    <x v="614"/>
    <x v="775"/>
    <x v="18"/>
    <n v="2"/>
    <x v="775"/>
    <s v="ddrewittnf@mapquest.com"/>
    <x v="0"/>
    <x v="1"/>
    <x v="0"/>
    <n v="0.2"/>
    <x v="16"/>
    <x v="112"/>
    <x v="1"/>
    <x v="0"/>
    <x v="0"/>
  </r>
  <r>
    <x v="809"/>
    <x v="151"/>
    <x v="776"/>
    <x v="20"/>
    <n v="6"/>
    <x v="776"/>
    <s v="agladhillng@stanford.edu"/>
    <x v="0"/>
    <x v="2"/>
    <x v="2"/>
    <n v="0.5"/>
    <x v="7"/>
    <x v="27"/>
    <x v="2"/>
    <x v="2"/>
    <x v="0"/>
  </r>
  <r>
    <x v="810"/>
    <x v="489"/>
    <x v="777"/>
    <x v="47"/>
    <n v="6"/>
    <x v="777"/>
    <s v="mlorineznh@whitehouse.gov"/>
    <x v="0"/>
    <x v="1"/>
    <x v="2"/>
    <n v="2.5"/>
    <x v="39"/>
    <x v="164"/>
    <x v="1"/>
    <x v="2"/>
    <x v="1"/>
  </r>
  <r>
    <x v="811"/>
    <x v="615"/>
    <x v="778"/>
    <x v="37"/>
    <n v="2"/>
    <x v="778"/>
    <s v=""/>
    <x v="0"/>
    <x v="2"/>
    <x v="0"/>
    <n v="2.5"/>
    <x v="31"/>
    <x v="95"/>
    <x v="2"/>
    <x v="0"/>
    <x v="0"/>
  </r>
  <r>
    <x v="812"/>
    <x v="616"/>
    <x v="779"/>
    <x v="16"/>
    <n v="3"/>
    <x v="779"/>
    <s v="mvannj@wikipedia.org"/>
    <x v="0"/>
    <x v="2"/>
    <x v="2"/>
    <n v="0.2"/>
    <x v="14"/>
    <x v="169"/>
    <x v="2"/>
    <x v="2"/>
    <x v="0"/>
  </r>
  <r>
    <x v="813"/>
    <x v="578"/>
    <x v="780"/>
    <x v="38"/>
    <n v="6"/>
    <x v="780"/>
    <s v=""/>
    <x v="0"/>
    <x v="1"/>
    <x v="1"/>
    <n v="0.5"/>
    <x v="32"/>
    <x v="119"/>
    <x v="1"/>
    <x v="1"/>
    <x v="1"/>
  </r>
  <r>
    <x v="814"/>
    <x v="617"/>
    <x v="781"/>
    <x v="29"/>
    <n v="6"/>
    <x v="781"/>
    <s v="jethelstonnl@creativecommons.org"/>
    <x v="0"/>
    <x v="2"/>
    <x v="1"/>
    <n v="0.2"/>
    <x v="10"/>
    <x v="102"/>
    <x v="2"/>
    <x v="1"/>
    <x v="0"/>
  </r>
  <r>
    <x v="814"/>
    <x v="617"/>
    <x v="781"/>
    <x v="14"/>
    <n v="2"/>
    <x v="781"/>
    <s v="jethelstonnl@creativecommons.org"/>
    <x v="0"/>
    <x v="2"/>
    <x v="0"/>
    <n v="0.2"/>
    <x v="12"/>
    <x v="52"/>
    <x v="2"/>
    <x v="0"/>
    <x v="0"/>
  </r>
  <r>
    <x v="815"/>
    <x v="155"/>
    <x v="782"/>
    <x v="31"/>
    <n v="1"/>
    <x v="782"/>
    <s v="peberznn@woothemes.com"/>
    <x v="0"/>
    <x v="3"/>
    <x v="2"/>
    <n v="0.5"/>
    <x v="26"/>
    <x v="41"/>
    <x v="3"/>
    <x v="2"/>
    <x v="0"/>
  </r>
  <r>
    <x v="816"/>
    <x v="461"/>
    <x v="783"/>
    <x v="27"/>
    <n v="4"/>
    <x v="783"/>
    <s v="bgaishno@altervista.org"/>
    <x v="0"/>
    <x v="3"/>
    <x v="2"/>
    <n v="2.5"/>
    <x v="24"/>
    <x v="129"/>
    <x v="3"/>
    <x v="2"/>
    <x v="0"/>
  </r>
  <r>
    <x v="817"/>
    <x v="87"/>
    <x v="784"/>
    <x v="9"/>
    <n v="2"/>
    <x v="784"/>
    <s v="ldantonnp@miitbeian.gov.cn"/>
    <x v="0"/>
    <x v="2"/>
    <x v="2"/>
    <n v="1"/>
    <x v="0"/>
    <x v="0"/>
    <x v="2"/>
    <x v="2"/>
    <x v="1"/>
  </r>
  <r>
    <x v="818"/>
    <x v="618"/>
    <x v="785"/>
    <x v="35"/>
    <n v="5"/>
    <x v="785"/>
    <s v="smorrallnq@answers.com"/>
    <x v="0"/>
    <x v="0"/>
    <x v="1"/>
    <n v="0.5"/>
    <x v="30"/>
    <x v="66"/>
    <x v="0"/>
    <x v="1"/>
    <x v="0"/>
  </r>
  <r>
    <x v="819"/>
    <x v="619"/>
    <x v="786"/>
    <x v="27"/>
    <n v="3"/>
    <x v="786"/>
    <s v="dcrownshawnr@photobucket.com"/>
    <x v="0"/>
    <x v="3"/>
    <x v="2"/>
    <n v="2.5"/>
    <x v="24"/>
    <x v="49"/>
    <x v="3"/>
    <x v="2"/>
    <x v="1"/>
  </r>
  <r>
    <x v="820"/>
    <x v="440"/>
    <x v="760"/>
    <x v="21"/>
    <n v="2"/>
    <x v="760"/>
    <s v="oskermen3@hatena.ne.jp"/>
    <x v="0"/>
    <x v="3"/>
    <x v="0"/>
    <n v="0.2"/>
    <x v="18"/>
    <x v="31"/>
    <x v="3"/>
    <x v="0"/>
    <x v="0"/>
  </r>
  <r>
    <x v="821"/>
    <x v="489"/>
    <x v="787"/>
    <x v="4"/>
    <n v="5"/>
    <x v="787"/>
    <s v="jreddochnt@sun.com"/>
    <x v="0"/>
    <x v="0"/>
    <x v="1"/>
    <n v="2.5"/>
    <x v="4"/>
    <x v="187"/>
    <x v="0"/>
    <x v="1"/>
    <x v="1"/>
  </r>
  <r>
    <x v="822"/>
    <x v="620"/>
    <x v="788"/>
    <x v="22"/>
    <n v="4"/>
    <x v="788"/>
    <s v="stitleynu@whitehouse.gov"/>
    <x v="0"/>
    <x v="3"/>
    <x v="0"/>
    <n v="0.5"/>
    <x v="19"/>
    <x v="190"/>
    <x v="3"/>
    <x v="0"/>
    <x v="1"/>
  </r>
  <r>
    <x v="823"/>
    <x v="621"/>
    <x v="789"/>
    <x v="44"/>
    <n v="6"/>
    <x v="789"/>
    <s v="rsimaonv@simplemachines.org"/>
    <x v="0"/>
    <x v="2"/>
    <x v="1"/>
    <n v="2.5"/>
    <x v="24"/>
    <x v="39"/>
    <x v="2"/>
    <x v="1"/>
    <x v="1"/>
  </r>
  <r>
    <x v="824"/>
    <x v="374"/>
    <x v="790"/>
    <x v="37"/>
    <n v="1"/>
    <x v="790"/>
    <s v=""/>
    <x v="0"/>
    <x v="2"/>
    <x v="0"/>
    <n v="2.5"/>
    <x v="31"/>
    <x v="145"/>
    <x v="2"/>
    <x v="0"/>
    <x v="1"/>
  </r>
  <r>
    <x v="825"/>
    <x v="345"/>
    <x v="791"/>
    <x v="5"/>
    <n v="6"/>
    <x v="791"/>
    <s v="nchisholmnx@example.com"/>
    <x v="0"/>
    <x v="3"/>
    <x v="2"/>
    <n v="1"/>
    <x v="2"/>
    <x v="17"/>
    <x v="3"/>
    <x v="2"/>
    <x v="0"/>
  </r>
  <r>
    <x v="826"/>
    <x v="622"/>
    <x v="792"/>
    <x v="0"/>
    <n v="1"/>
    <x v="792"/>
    <s v="goatsny@live.com"/>
    <x v="0"/>
    <x v="0"/>
    <x v="0"/>
    <n v="1"/>
    <x v="0"/>
    <x v="138"/>
    <x v="0"/>
    <x v="0"/>
    <x v="0"/>
  </r>
  <r>
    <x v="827"/>
    <x v="623"/>
    <x v="793"/>
    <x v="24"/>
    <n v="2"/>
    <x v="793"/>
    <s v="mbirkinnz@java.com"/>
    <x v="0"/>
    <x v="3"/>
    <x v="0"/>
    <n v="1"/>
    <x v="21"/>
    <x v="194"/>
    <x v="3"/>
    <x v="0"/>
    <x v="0"/>
  </r>
  <r>
    <x v="828"/>
    <x v="354"/>
    <x v="794"/>
    <x v="40"/>
    <n v="6"/>
    <x v="794"/>
    <s v="rpysono0@constantcontact.com"/>
    <x v="1"/>
    <x v="0"/>
    <x v="1"/>
    <n v="0.2"/>
    <x v="34"/>
    <x v="137"/>
    <x v="0"/>
    <x v="1"/>
    <x v="1"/>
  </r>
  <r>
    <x v="829"/>
    <x v="624"/>
    <x v="795"/>
    <x v="19"/>
    <n v="1"/>
    <x v="795"/>
    <s v="mmacconnechieo9@reuters.com"/>
    <x v="0"/>
    <x v="2"/>
    <x v="0"/>
    <n v="0.5"/>
    <x v="17"/>
    <x v="52"/>
    <x v="2"/>
    <x v="0"/>
    <x v="0"/>
  </r>
  <r>
    <x v="830"/>
    <x v="561"/>
    <x v="796"/>
    <x v="20"/>
    <n v="3"/>
    <x v="796"/>
    <s v="rtreachero2@usa.gov"/>
    <x v="1"/>
    <x v="2"/>
    <x v="2"/>
    <n v="0.5"/>
    <x v="7"/>
    <x v="8"/>
    <x v="2"/>
    <x v="2"/>
    <x v="1"/>
  </r>
  <r>
    <x v="831"/>
    <x v="42"/>
    <x v="797"/>
    <x v="44"/>
    <n v="1"/>
    <x v="797"/>
    <s v="bfattorinio3@quantcast.com"/>
    <x v="1"/>
    <x v="2"/>
    <x v="1"/>
    <n v="2.5"/>
    <x v="24"/>
    <x v="91"/>
    <x v="2"/>
    <x v="1"/>
    <x v="0"/>
  </r>
  <r>
    <x v="832"/>
    <x v="267"/>
    <x v="798"/>
    <x v="1"/>
    <n v="5"/>
    <x v="798"/>
    <s v="mpalleskeo4@nyu.edu"/>
    <x v="0"/>
    <x v="1"/>
    <x v="0"/>
    <n v="0.5"/>
    <x v="1"/>
    <x v="1"/>
    <x v="1"/>
    <x v="0"/>
    <x v="0"/>
  </r>
  <r>
    <x v="833"/>
    <x v="625"/>
    <x v="799"/>
    <x v="8"/>
    <n v="3"/>
    <x v="799"/>
    <s v=""/>
    <x v="0"/>
    <x v="0"/>
    <x v="0"/>
    <n v="0.5"/>
    <x v="7"/>
    <x v="8"/>
    <x v="0"/>
    <x v="0"/>
    <x v="0"/>
  </r>
  <r>
    <x v="834"/>
    <x v="616"/>
    <x v="800"/>
    <x v="6"/>
    <n v="1"/>
    <x v="800"/>
    <s v="fantcliffeo6@amazon.co.jp"/>
    <x v="1"/>
    <x v="1"/>
    <x v="2"/>
    <n v="0.5"/>
    <x v="5"/>
    <x v="35"/>
    <x v="1"/>
    <x v="2"/>
    <x v="0"/>
  </r>
  <r>
    <x v="835"/>
    <x v="626"/>
    <x v="801"/>
    <x v="33"/>
    <n v="2"/>
    <x v="801"/>
    <s v="pmatignono7@harvard.edu"/>
    <x v="2"/>
    <x v="1"/>
    <x v="1"/>
    <n v="1"/>
    <x v="28"/>
    <x v="195"/>
    <x v="1"/>
    <x v="1"/>
    <x v="0"/>
  </r>
  <r>
    <x v="836"/>
    <x v="52"/>
    <x v="802"/>
    <x v="17"/>
    <n v="2"/>
    <x v="802"/>
    <s v="cweondo8@theglobeandmail.com"/>
    <x v="0"/>
    <x v="2"/>
    <x v="0"/>
    <n v="1"/>
    <x v="15"/>
    <x v="122"/>
    <x v="2"/>
    <x v="0"/>
    <x v="1"/>
  </r>
  <r>
    <x v="837"/>
    <x v="622"/>
    <x v="795"/>
    <x v="36"/>
    <n v="4"/>
    <x v="795"/>
    <s v="mmacconnechieo9@reuters.com"/>
    <x v="0"/>
    <x v="0"/>
    <x v="0"/>
    <n v="0.2"/>
    <x v="14"/>
    <x v="22"/>
    <x v="0"/>
    <x v="0"/>
    <x v="0"/>
  </r>
  <r>
    <x v="838"/>
    <x v="627"/>
    <x v="803"/>
    <x v="2"/>
    <n v="2"/>
    <x v="803"/>
    <s v="jskentelberyoa@paypal.com"/>
    <x v="0"/>
    <x v="2"/>
    <x v="1"/>
    <n v="1"/>
    <x v="2"/>
    <x v="109"/>
    <x v="2"/>
    <x v="1"/>
    <x v="1"/>
  </r>
  <r>
    <x v="839"/>
    <x v="628"/>
    <x v="804"/>
    <x v="22"/>
    <n v="5"/>
    <x v="804"/>
    <s v="ocomberob@goo.gl"/>
    <x v="1"/>
    <x v="3"/>
    <x v="0"/>
    <n v="0.5"/>
    <x v="19"/>
    <x v="34"/>
    <x v="3"/>
    <x v="0"/>
    <x v="1"/>
  </r>
  <r>
    <x v="839"/>
    <x v="628"/>
    <x v="804"/>
    <x v="42"/>
    <n v="6"/>
    <x v="804"/>
    <s v="ocomberob@goo.gl"/>
    <x v="1"/>
    <x v="2"/>
    <x v="1"/>
    <n v="0.5"/>
    <x v="26"/>
    <x v="162"/>
    <x v="2"/>
    <x v="1"/>
    <x v="1"/>
  </r>
  <r>
    <x v="840"/>
    <x v="629"/>
    <x v="805"/>
    <x v="23"/>
    <n v="3"/>
    <x v="805"/>
    <s v="ztramelod@netlog.com"/>
    <x v="0"/>
    <x v="3"/>
    <x v="1"/>
    <n v="0.5"/>
    <x v="20"/>
    <x v="32"/>
    <x v="3"/>
    <x v="1"/>
    <x v="1"/>
  </r>
  <r>
    <x v="841"/>
    <x v="630"/>
    <x v="806"/>
    <x v="4"/>
    <n v="1"/>
    <x v="806"/>
    <s v=""/>
    <x v="0"/>
    <x v="0"/>
    <x v="1"/>
    <n v="2.5"/>
    <x v="4"/>
    <x v="142"/>
    <x v="0"/>
    <x v="1"/>
    <x v="0"/>
  </r>
  <r>
    <x v="842"/>
    <x v="631"/>
    <x v="807"/>
    <x v="15"/>
    <n v="3"/>
    <x v="807"/>
    <s v=""/>
    <x v="0"/>
    <x v="1"/>
    <x v="2"/>
    <n v="0.2"/>
    <x v="13"/>
    <x v="47"/>
    <x v="1"/>
    <x v="2"/>
    <x v="1"/>
  </r>
  <r>
    <x v="843"/>
    <x v="229"/>
    <x v="808"/>
    <x v="40"/>
    <n v="2"/>
    <x v="808"/>
    <s v="chatfullog@ebay.com"/>
    <x v="0"/>
    <x v="0"/>
    <x v="1"/>
    <n v="0.2"/>
    <x v="34"/>
    <x v="53"/>
    <x v="0"/>
    <x v="1"/>
    <x v="1"/>
  </r>
  <r>
    <x v="844"/>
    <x v="632"/>
    <x v="809"/>
    <x v="29"/>
    <n v="6"/>
    <x v="809"/>
    <s v=""/>
    <x v="0"/>
    <x v="2"/>
    <x v="1"/>
    <n v="0.2"/>
    <x v="10"/>
    <x v="102"/>
    <x v="2"/>
    <x v="1"/>
    <x v="0"/>
  </r>
  <r>
    <x v="845"/>
    <x v="633"/>
    <x v="810"/>
    <x v="30"/>
    <n v="5"/>
    <x v="810"/>
    <s v="kmarrisonoq@dropbox.com"/>
    <x v="0"/>
    <x v="2"/>
    <x v="2"/>
    <n v="2.5"/>
    <x v="11"/>
    <x v="15"/>
    <x v="2"/>
    <x v="2"/>
    <x v="0"/>
  </r>
  <r>
    <x v="846"/>
    <x v="95"/>
    <x v="811"/>
    <x v="37"/>
    <n v="3"/>
    <x v="811"/>
    <s v="lagnolooj@pinterest.com"/>
    <x v="0"/>
    <x v="2"/>
    <x v="0"/>
    <n v="2.5"/>
    <x v="31"/>
    <x v="57"/>
    <x v="2"/>
    <x v="0"/>
    <x v="0"/>
  </r>
  <r>
    <x v="847"/>
    <x v="521"/>
    <x v="812"/>
    <x v="34"/>
    <n v="1"/>
    <x v="812"/>
    <s v="dkiddyok@fda.gov"/>
    <x v="0"/>
    <x v="0"/>
    <x v="2"/>
    <n v="0.5"/>
    <x v="29"/>
    <x v="147"/>
    <x v="0"/>
    <x v="2"/>
    <x v="0"/>
  </r>
  <r>
    <x v="848"/>
    <x v="76"/>
    <x v="813"/>
    <x v="11"/>
    <n v="6"/>
    <x v="813"/>
    <s v="hpetroulisol@state.tx.us"/>
    <x v="1"/>
    <x v="0"/>
    <x v="2"/>
    <n v="2.5"/>
    <x v="9"/>
    <x v="99"/>
    <x v="0"/>
    <x v="2"/>
    <x v="1"/>
  </r>
  <r>
    <x v="849"/>
    <x v="634"/>
    <x v="814"/>
    <x v="22"/>
    <n v="2"/>
    <x v="814"/>
    <s v="mschollom@taobao.com"/>
    <x v="0"/>
    <x v="3"/>
    <x v="0"/>
    <n v="0.5"/>
    <x v="19"/>
    <x v="92"/>
    <x v="3"/>
    <x v="0"/>
    <x v="1"/>
  </r>
  <r>
    <x v="850"/>
    <x v="635"/>
    <x v="815"/>
    <x v="46"/>
    <n v="3"/>
    <x v="815"/>
    <s v="kfersonon@g.co"/>
    <x v="0"/>
    <x v="1"/>
    <x v="1"/>
    <n v="0.2"/>
    <x v="38"/>
    <x v="77"/>
    <x v="1"/>
    <x v="1"/>
    <x v="1"/>
  </r>
  <r>
    <x v="851"/>
    <x v="636"/>
    <x v="816"/>
    <x v="29"/>
    <n v="2"/>
    <x v="816"/>
    <s v="bkellowayoo@omniture.com"/>
    <x v="0"/>
    <x v="2"/>
    <x v="1"/>
    <n v="0.2"/>
    <x v="10"/>
    <x v="41"/>
    <x v="2"/>
    <x v="1"/>
    <x v="0"/>
  </r>
  <r>
    <x v="852"/>
    <x v="637"/>
    <x v="817"/>
    <x v="25"/>
    <n v="1"/>
    <x v="817"/>
    <s v="soliffeop@yellowbook.com"/>
    <x v="0"/>
    <x v="0"/>
    <x v="2"/>
    <n v="0.2"/>
    <x v="22"/>
    <x v="97"/>
    <x v="0"/>
    <x v="2"/>
    <x v="0"/>
  </r>
  <r>
    <x v="853"/>
    <x v="182"/>
    <x v="810"/>
    <x v="11"/>
    <n v="1"/>
    <x v="810"/>
    <s v="kmarrisonoq@dropbox.com"/>
    <x v="0"/>
    <x v="0"/>
    <x v="2"/>
    <n v="2.5"/>
    <x v="9"/>
    <x v="123"/>
    <x v="0"/>
    <x v="2"/>
    <x v="0"/>
  </r>
  <r>
    <x v="854"/>
    <x v="479"/>
    <x v="818"/>
    <x v="30"/>
    <n v="5"/>
    <x v="818"/>
    <s v="cdolohuntyor@dailymail.co.uk"/>
    <x v="0"/>
    <x v="2"/>
    <x v="2"/>
    <n v="2.5"/>
    <x v="11"/>
    <x v="15"/>
    <x v="2"/>
    <x v="2"/>
    <x v="0"/>
  </r>
  <r>
    <x v="855"/>
    <x v="638"/>
    <x v="819"/>
    <x v="18"/>
    <n v="5"/>
    <x v="819"/>
    <s v="pvasilenkoos@addtoany.com"/>
    <x v="2"/>
    <x v="1"/>
    <x v="0"/>
    <n v="0.2"/>
    <x v="16"/>
    <x v="132"/>
    <x v="1"/>
    <x v="0"/>
    <x v="1"/>
  </r>
  <r>
    <x v="856"/>
    <x v="639"/>
    <x v="820"/>
    <x v="23"/>
    <n v="6"/>
    <x v="820"/>
    <s v="rschankelborgot@ameblo.jp"/>
    <x v="0"/>
    <x v="3"/>
    <x v="1"/>
    <n v="0.5"/>
    <x v="20"/>
    <x v="30"/>
    <x v="3"/>
    <x v="1"/>
    <x v="0"/>
  </r>
  <r>
    <x v="857"/>
    <x v="640"/>
    <x v="821"/>
    <x v="11"/>
    <n v="4"/>
    <x v="821"/>
    <s v=""/>
    <x v="1"/>
    <x v="0"/>
    <x v="2"/>
    <n v="2.5"/>
    <x v="9"/>
    <x v="18"/>
    <x v="0"/>
    <x v="2"/>
    <x v="0"/>
  </r>
  <r>
    <x v="858"/>
    <x v="612"/>
    <x v="822"/>
    <x v="28"/>
    <n v="5"/>
    <x v="822"/>
    <s v=""/>
    <x v="0"/>
    <x v="1"/>
    <x v="0"/>
    <n v="2.5"/>
    <x v="25"/>
    <x v="196"/>
    <x v="1"/>
    <x v="0"/>
    <x v="1"/>
  </r>
  <r>
    <x v="859"/>
    <x v="641"/>
    <x v="823"/>
    <x v="34"/>
    <n v="6"/>
    <x v="823"/>
    <s v="bcargenow@geocities.jp"/>
    <x v="0"/>
    <x v="0"/>
    <x v="2"/>
    <n v="0.5"/>
    <x v="29"/>
    <x v="111"/>
    <x v="0"/>
    <x v="2"/>
    <x v="0"/>
  </r>
  <r>
    <x v="860"/>
    <x v="36"/>
    <x v="824"/>
    <x v="45"/>
    <n v="2"/>
    <x v="824"/>
    <s v="rsticklerox@printfriendly.com"/>
    <x v="2"/>
    <x v="1"/>
    <x v="2"/>
    <n v="1"/>
    <x v="37"/>
    <x v="76"/>
    <x v="1"/>
    <x v="2"/>
    <x v="1"/>
  </r>
  <r>
    <x v="861"/>
    <x v="642"/>
    <x v="825"/>
    <x v="35"/>
    <n v="5"/>
    <x v="825"/>
    <s v=""/>
    <x v="0"/>
    <x v="0"/>
    <x v="1"/>
    <n v="0.5"/>
    <x v="30"/>
    <x v="66"/>
    <x v="0"/>
    <x v="1"/>
    <x v="1"/>
  </r>
  <r>
    <x v="862"/>
    <x v="219"/>
    <x v="822"/>
    <x v="24"/>
    <n v="5"/>
    <x v="822"/>
    <s v=""/>
    <x v="0"/>
    <x v="3"/>
    <x v="0"/>
    <n v="1"/>
    <x v="21"/>
    <x v="45"/>
    <x v="3"/>
    <x v="0"/>
    <x v="1"/>
  </r>
  <r>
    <x v="863"/>
    <x v="643"/>
    <x v="826"/>
    <x v="32"/>
    <n v="3"/>
    <x v="826"/>
    <s v=""/>
    <x v="1"/>
    <x v="3"/>
    <x v="1"/>
    <n v="1"/>
    <x v="27"/>
    <x v="46"/>
    <x v="3"/>
    <x v="1"/>
    <x v="1"/>
  </r>
  <r>
    <x v="864"/>
    <x v="644"/>
    <x v="827"/>
    <x v="40"/>
    <n v="1"/>
    <x v="827"/>
    <s v="djevonp1@ibm.com"/>
    <x v="0"/>
    <x v="0"/>
    <x v="1"/>
    <n v="0.2"/>
    <x v="34"/>
    <x v="60"/>
    <x v="0"/>
    <x v="1"/>
    <x v="0"/>
  </r>
  <r>
    <x v="865"/>
    <x v="136"/>
    <x v="828"/>
    <x v="28"/>
    <n v="5"/>
    <x v="828"/>
    <s v="hrannerp2@omniture.com"/>
    <x v="0"/>
    <x v="1"/>
    <x v="0"/>
    <n v="2.5"/>
    <x v="25"/>
    <x v="196"/>
    <x v="1"/>
    <x v="0"/>
    <x v="1"/>
  </r>
  <r>
    <x v="866"/>
    <x v="645"/>
    <x v="829"/>
    <x v="22"/>
    <n v="2"/>
    <x v="829"/>
    <s v="bimriep3@addtoany.com"/>
    <x v="0"/>
    <x v="3"/>
    <x v="0"/>
    <n v="0.5"/>
    <x v="19"/>
    <x v="92"/>
    <x v="3"/>
    <x v="0"/>
    <x v="1"/>
  </r>
  <r>
    <x v="867"/>
    <x v="646"/>
    <x v="830"/>
    <x v="44"/>
    <n v="5"/>
    <x v="830"/>
    <s v="dsopperp4@eventbrite.com"/>
    <x v="0"/>
    <x v="2"/>
    <x v="1"/>
    <n v="2.5"/>
    <x v="24"/>
    <x v="74"/>
    <x v="2"/>
    <x v="1"/>
    <x v="1"/>
  </r>
  <r>
    <x v="868"/>
    <x v="647"/>
    <x v="831"/>
    <x v="19"/>
    <n v="6"/>
    <x v="831"/>
    <s v=""/>
    <x v="0"/>
    <x v="2"/>
    <x v="0"/>
    <n v="0.5"/>
    <x v="17"/>
    <x v="61"/>
    <x v="2"/>
    <x v="0"/>
    <x v="0"/>
  </r>
  <r>
    <x v="869"/>
    <x v="591"/>
    <x v="832"/>
    <x v="19"/>
    <n v="4"/>
    <x v="832"/>
    <s v="lledgleyp6@de.vu"/>
    <x v="0"/>
    <x v="2"/>
    <x v="0"/>
    <n v="0.5"/>
    <x v="17"/>
    <x v="25"/>
    <x v="2"/>
    <x v="0"/>
    <x v="0"/>
  </r>
  <r>
    <x v="870"/>
    <x v="648"/>
    <x v="833"/>
    <x v="5"/>
    <n v="3"/>
    <x v="833"/>
    <s v="tmenaryp7@phoca.cz"/>
    <x v="0"/>
    <x v="3"/>
    <x v="2"/>
    <n v="1"/>
    <x v="2"/>
    <x v="5"/>
    <x v="3"/>
    <x v="2"/>
    <x v="1"/>
  </r>
  <r>
    <x v="871"/>
    <x v="191"/>
    <x v="834"/>
    <x v="41"/>
    <n v="5"/>
    <x v="834"/>
    <s v="gciccottip8@so-net.ne.jp"/>
    <x v="0"/>
    <x v="0"/>
    <x v="1"/>
    <n v="1"/>
    <x v="35"/>
    <x v="143"/>
    <x v="0"/>
    <x v="1"/>
    <x v="1"/>
  </r>
  <r>
    <x v="872"/>
    <x v="649"/>
    <x v="835"/>
    <x v="40"/>
    <n v="3"/>
    <x v="835"/>
    <s v=""/>
    <x v="0"/>
    <x v="0"/>
    <x v="1"/>
    <n v="0.2"/>
    <x v="34"/>
    <x v="127"/>
    <x v="0"/>
    <x v="1"/>
    <x v="1"/>
  </r>
  <r>
    <x v="873"/>
    <x v="553"/>
    <x v="836"/>
    <x v="30"/>
    <n v="4"/>
    <x v="836"/>
    <s v="wjallinpa@pcworld.com"/>
    <x v="0"/>
    <x v="2"/>
    <x v="2"/>
    <n v="2.5"/>
    <x v="11"/>
    <x v="21"/>
    <x v="2"/>
    <x v="2"/>
    <x v="1"/>
  </r>
  <r>
    <x v="874"/>
    <x v="584"/>
    <x v="837"/>
    <x v="17"/>
    <n v="4"/>
    <x v="837"/>
    <s v="mbogeypb@thetimes.co.uk"/>
    <x v="0"/>
    <x v="2"/>
    <x v="0"/>
    <n v="1"/>
    <x v="15"/>
    <x v="157"/>
    <x v="2"/>
    <x v="0"/>
    <x v="0"/>
  </r>
  <r>
    <x v="875"/>
    <x v="650"/>
    <x v="838"/>
    <x v="13"/>
    <n v="6"/>
    <x v="838"/>
    <s v=""/>
    <x v="0"/>
    <x v="0"/>
    <x v="0"/>
    <n v="2.5"/>
    <x v="11"/>
    <x v="170"/>
    <x v="0"/>
    <x v="0"/>
    <x v="0"/>
  </r>
  <r>
    <x v="876"/>
    <x v="121"/>
    <x v="839"/>
    <x v="19"/>
    <n v="1"/>
    <x v="839"/>
    <s v="mcobbledickpd@ucsd.edu"/>
    <x v="0"/>
    <x v="2"/>
    <x v="0"/>
    <n v="0.5"/>
    <x v="17"/>
    <x v="52"/>
    <x v="2"/>
    <x v="0"/>
    <x v="1"/>
  </r>
  <r>
    <x v="877"/>
    <x v="472"/>
    <x v="840"/>
    <x v="17"/>
    <n v="4"/>
    <x v="840"/>
    <s v="alewrype@whitehouse.gov"/>
    <x v="0"/>
    <x v="2"/>
    <x v="0"/>
    <n v="1"/>
    <x v="15"/>
    <x v="157"/>
    <x v="2"/>
    <x v="0"/>
    <x v="1"/>
  </r>
  <r>
    <x v="878"/>
    <x v="594"/>
    <x v="841"/>
    <x v="47"/>
    <n v="3"/>
    <x v="841"/>
    <s v="ihesselpf@ox.ac.uk"/>
    <x v="0"/>
    <x v="1"/>
    <x v="2"/>
    <n v="2.5"/>
    <x v="39"/>
    <x v="171"/>
    <x v="1"/>
    <x v="2"/>
    <x v="0"/>
  </r>
  <r>
    <x v="879"/>
    <x v="89"/>
    <x v="842"/>
    <x v="15"/>
    <n v="1"/>
    <x v="842"/>
    <s v=""/>
    <x v="1"/>
    <x v="1"/>
    <x v="2"/>
    <n v="0.2"/>
    <x v="13"/>
    <x v="186"/>
    <x v="1"/>
    <x v="2"/>
    <x v="0"/>
  </r>
  <r>
    <x v="880"/>
    <x v="651"/>
    <x v="843"/>
    <x v="19"/>
    <n v="1"/>
    <x v="843"/>
    <s v="csorrellph@amazon.com"/>
    <x v="2"/>
    <x v="2"/>
    <x v="0"/>
    <n v="0.5"/>
    <x v="17"/>
    <x v="52"/>
    <x v="2"/>
    <x v="0"/>
    <x v="1"/>
  </r>
  <r>
    <x v="880"/>
    <x v="651"/>
    <x v="843"/>
    <x v="6"/>
    <n v="3"/>
    <x v="843"/>
    <s v="csorrellph@amazon.com"/>
    <x v="2"/>
    <x v="1"/>
    <x v="2"/>
    <n v="0.5"/>
    <x v="5"/>
    <x v="6"/>
    <x v="1"/>
    <x v="2"/>
    <x v="1"/>
  </r>
  <r>
    <x v="881"/>
    <x v="249"/>
    <x v="844"/>
    <x v="25"/>
    <n v="5"/>
    <x v="844"/>
    <s v="qheavysidepj@unc.edu"/>
    <x v="0"/>
    <x v="0"/>
    <x v="2"/>
    <n v="0.2"/>
    <x v="22"/>
    <x v="148"/>
    <x v="0"/>
    <x v="2"/>
    <x v="0"/>
  </r>
  <r>
    <x v="882"/>
    <x v="652"/>
    <x v="845"/>
    <x v="11"/>
    <n v="6"/>
    <x v="845"/>
    <s v="hreuvenpk@whitehouse.gov"/>
    <x v="0"/>
    <x v="0"/>
    <x v="2"/>
    <n v="2.5"/>
    <x v="9"/>
    <x v="99"/>
    <x v="0"/>
    <x v="2"/>
    <x v="1"/>
  </r>
  <r>
    <x v="883"/>
    <x v="653"/>
    <x v="846"/>
    <x v="12"/>
    <n v="2"/>
    <x v="846"/>
    <s v="mattwoolpl@nba.com"/>
    <x v="0"/>
    <x v="3"/>
    <x v="2"/>
    <n v="0.2"/>
    <x v="10"/>
    <x v="41"/>
    <x v="3"/>
    <x v="2"/>
    <x v="1"/>
  </r>
  <r>
    <x v="884"/>
    <x v="177"/>
    <x v="847"/>
    <x v="17"/>
    <n v="6"/>
    <x v="847"/>
    <s v=""/>
    <x v="0"/>
    <x v="2"/>
    <x v="0"/>
    <n v="1"/>
    <x v="15"/>
    <x v="173"/>
    <x v="2"/>
    <x v="0"/>
    <x v="0"/>
  </r>
  <r>
    <x v="885"/>
    <x v="22"/>
    <x v="848"/>
    <x v="47"/>
    <n v="1"/>
    <x v="848"/>
    <s v="gwynespn@dagondesign.com"/>
    <x v="0"/>
    <x v="1"/>
    <x v="2"/>
    <n v="2.5"/>
    <x v="39"/>
    <x v="140"/>
    <x v="1"/>
    <x v="2"/>
    <x v="1"/>
  </r>
  <r>
    <x v="886"/>
    <x v="508"/>
    <x v="849"/>
    <x v="44"/>
    <n v="3"/>
    <x v="849"/>
    <s v="cmaccourtpo@amazon.com"/>
    <x v="0"/>
    <x v="2"/>
    <x v="1"/>
    <n v="2.5"/>
    <x v="24"/>
    <x v="49"/>
    <x v="2"/>
    <x v="1"/>
    <x v="1"/>
  </r>
  <r>
    <x v="887"/>
    <x v="654"/>
    <x v="822"/>
    <x v="19"/>
    <n v="3"/>
    <x v="822"/>
    <s v=""/>
    <x v="0"/>
    <x v="2"/>
    <x v="0"/>
    <n v="0.5"/>
    <x v="17"/>
    <x v="16"/>
    <x v="2"/>
    <x v="0"/>
    <x v="1"/>
  </r>
  <r>
    <x v="888"/>
    <x v="524"/>
    <x v="850"/>
    <x v="19"/>
    <n v="5"/>
    <x v="850"/>
    <s v="ewilsonepq@eepurl.com"/>
    <x v="0"/>
    <x v="2"/>
    <x v="0"/>
    <n v="0.5"/>
    <x v="17"/>
    <x v="65"/>
    <x v="2"/>
    <x v="0"/>
    <x v="0"/>
  </r>
  <r>
    <x v="889"/>
    <x v="655"/>
    <x v="851"/>
    <x v="47"/>
    <n v="4"/>
    <x v="851"/>
    <s v="dduffiepr@time.com"/>
    <x v="0"/>
    <x v="1"/>
    <x v="2"/>
    <n v="2.5"/>
    <x v="39"/>
    <x v="150"/>
    <x v="1"/>
    <x v="2"/>
    <x v="1"/>
  </r>
  <r>
    <x v="890"/>
    <x v="523"/>
    <x v="852"/>
    <x v="28"/>
    <n v="2"/>
    <x v="852"/>
    <s v="mmatiasekps@ucoz.ru"/>
    <x v="0"/>
    <x v="1"/>
    <x v="0"/>
    <n v="2.5"/>
    <x v="25"/>
    <x v="40"/>
    <x v="1"/>
    <x v="0"/>
    <x v="0"/>
  </r>
  <r>
    <x v="891"/>
    <x v="656"/>
    <x v="853"/>
    <x v="46"/>
    <n v="2"/>
    <x v="853"/>
    <s v="jcamillopt@shinystat.com"/>
    <x v="0"/>
    <x v="1"/>
    <x v="1"/>
    <n v="0.2"/>
    <x v="38"/>
    <x v="161"/>
    <x v="1"/>
    <x v="1"/>
    <x v="0"/>
  </r>
  <r>
    <x v="892"/>
    <x v="657"/>
    <x v="854"/>
    <x v="45"/>
    <n v="1"/>
    <x v="854"/>
    <s v="kphilbrickpu@cdc.gov"/>
    <x v="0"/>
    <x v="1"/>
    <x v="2"/>
    <n v="1"/>
    <x v="37"/>
    <x v="87"/>
    <x v="1"/>
    <x v="2"/>
    <x v="0"/>
  </r>
  <r>
    <x v="893"/>
    <x v="658"/>
    <x v="855"/>
    <x v="20"/>
    <n v="4"/>
    <x v="855"/>
    <s v=""/>
    <x v="0"/>
    <x v="2"/>
    <x v="2"/>
    <n v="0.5"/>
    <x v="7"/>
    <x v="86"/>
    <x v="2"/>
    <x v="2"/>
    <x v="0"/>
  </r>
  <r>
    <x v="894"/>
    <x v="659"/>
    <x v="856"/>
    <x v="3"/>
    <n v="4"/>
    <x v="856"/>
    <s v="bsillispw@istockphoto.com"/>
    <x v="0"/>
    <x v="1"/>
    <x v="0"/>
    <n v="1"/>
    <x v="3"/>
    <x v="193"/>
    <x v="1"/>
    <x v="0"/>
    <x v="1"/>
  </r>
  <r>
    <x v="895"/>
    <x v="558"/>
    <x v="857"/>
    <x v="39"/>
    <n v="3"/>
    <x v="857"/>
    <s v=""/>
    <x v="0"/>
    <x v="0"/>
    <x v="2"/>
    <n v="1"/>
    <x v="33"/>
    <x v="166"/>
    <x v="0"/>
    <x v="2"/>
    <x v="0"/>
  </r>
  <r>
    <x v="896"/>
    <x v="660"/>
    <x v="858"/>
    <x v="13"/>
    <n v="5"/>
    <x v="858"/>
    <s v="rcuttspy@techcrunch.com"/>
    <x v="0"/>
    <x v="0"/>
    <x v="0"/>
    <n v="2.5"/>
    <x v="11"/>
    <x v="15"/>
    <x v="0"/>
    <x v="0"/>
    <x v="1"/>
  </r>
  <r>
    <x v="897"/>
    <x v="661"/>
    <x v="859"/>
    <x v="37"/>
    <n v="6"/>
    <x v="859"/>
    <s v="mdelvespz@nature.com"/>
    <x v="0"/>
    <x v="2"/>
    <x v="0"/>
    <n v="2.5"/>
    <x v="31"/>
    <x v="71"/>
    <x v="2"/>
    <x v="0"/>
    <x v="0"/>
  </r>
  <r>
    <x v="898"/>
    <x v="662"/>
    <x v="860"/>
    <x v="31"/>
    <n v="3"/>
    <x v="860"/>
    <s v="dgrittonq0@nydailynews.com"/>
    <x v="0"/>
    <x v="3"/>
    <x v="2"/>
    <n v="0.5"/>
    <x v="26"/>
    <x v="102"/>
    <x v="3"/>
    <x v="2"/>
    <x v="0"/>
  </r>
  <r>
    <x v="898"/>
    <x v="662"/>
    <x v="860"/>
    <x v="13"/>
    <n v="4"/>
    <x v="860"/>
    <s v="dgrittonq0@nydailynews.com"/>
    <x v="0"/>
    <x v="0"/>
    <x v="0"/>
    <n v="2.5"/>
    <x v="11"/>
    <x v="21"/>
    <x v="0"/>
    <x v="0"/>
    <x v="0"/>
  </r>
  <r>
    <x v="899"/>
    <x v="184"/>
    <x v="861"/>
    <x v="33"/>
    <n v="5"/>
    <x v="861"/>
    <s v="dgutq2@umich.edu"/>
    <x v="0"/>
    <x v="1"/>
    <x v="1"/>
    <n v="1"/>
    <x v="28"/>
    <x v="159"/>
    <x v="1"/>
    <x v="1"/>
    <x v="0"/>
  </r>
  <r>
    <x v="900"/>
    <x v="663"/>
    <x v="862"/>
    <x v="7"/>
    <n v="6"/>
    <x v="862"/>
    <s v="wpummeryq3@topsy.com"/>
    <x v="0"/>
    <x v="3"/>
    <x v="1"/>
    <n v="0.2"/>
    <x v="6"/>
    <x v="32"/>
    <x v="3"/>
    <x v="1"/>
    <x v="1"/>
  </r>
  <r>
    <x v="901"/>
    <x v="334"/>
    <x v="863"/>
    <x v="35"/>
    <n v="2"/>
    <x v="863"/>
    <s v="gsiudaq4@nytimes.com"/>
    <x v="0"/>
    <x v="0"/>
    <x v="1"/>
    <n v="0.5"/>
    <x v="30"/>
    <x v="79"/>
    <x v="0"/>
    <x v="1"/>
    <x v="0"/>
  </r>
  <r>
    <x v="902"/>
    <x v="664"/>
    <x v="864"/>
    <x v="42"/>
    <n v="2"/>
    <x v="864"/>
    <s v="hcrowneq5@wufoo.com"/>
    <x v="1"/>
    <x v="2"/>
    <x v="1"/>
    <n v="0.5"/>
    <x v="26"/>
    <x v="42"/>
    <x v="2"/>
    <x v="1"/>
    <x v="0"/>
  </r>
  <r>
    <x v="903"/>
    <x v="24"/>
    <x v="865"/>
    <x v="41"/>
    <n v="3"/>
    <x v="865"/>
    <s v="vpawseyq6@tiny.cc"/>
    <x v="0"/>
    <x v="0"/>
    <x v="1"/>
    <n v="1"/>
    <x v="35"/>
    <x v="66"/>
    <x v="0"/>
    <x v="1"/>
    <x v="1"/>
  </r>
  <r>
    <x v="904"/>
    <x v="12"/>
    <x v="866"/>
    <x v="42"/>
    <n v="6"/>
    <x v="866"/>
    <s v="awaterhouseq7@istockphoto.com"/>
    <x v="0"/>
    <x v="2"/>
    <x v="1"/>
    <n v="0.5"/>
    <x v="26"/>
    <x v="162"/>
    <x v="2"/>
    <x v="1"/>
    <x v="1"/>
  </r>
  <r>
    <x v="905"/>
    <x v="105"/>
    <x v="867"/>
    <x v="35"/>
    <n v="5"/>
    <x v="867"/>
    <s v="fhaughianq8@1688.com"/>
    <x v="0"/>
    <x v="0"/>
    <x v="1"/>
    <n v="0.5"/>
    <x v="30"/>
    <x v="66"/>
    <x v="0"/>
    <x v="1"/>
    <x v="1"/>
  </r>
  <r>
    <x v="906"/>
    <x v="665"/>
    <x v="868"/>
    <x v="27"/>
    <n v="4"/>
    <x v="868"/>
    <s v=""/>
    <x v="0"/>
    <x v="3"/>
    <x v="2"/>
    <n v="2.5"/>
    <x v="24"/>
    <x v="129"/>
    <x v="3"/>
    <x v="2"/>
    <x v="1"/>
  </r>
  <r>
    <x v="907"/>
    <x v="44"/>
    <x v="869"/>
    <x v="31"/>
    <n v="3"/>
    <x v="869"/>
    <s v=""/>
    <x v="0"/>
    <x v="3"/>
    <x v="2"/>
    <n v="0.5"/>
    <x v="26"/>
    <x v="102"/>
    <x v="3"/>
    <x v="2"/>
    <x v="1"/>
  </r>
  <r>
    <x v="908"/>
    <x v="171"/>
    <x v="870"/>
    <x v="17"/>
    <n v="1"/>
    <x v="870"/>
    <s v="rfaltinqb@topsy.com"/>
    <x v="1"/>
    <x v="2"/>
    <x v="0"/>
    <n v="1"/>
    <x v="15"/>
    <x v="23"/>
    <x v="2"/>
    <x v="0"/>
    <x v="1"/>
  </r>
  <r>
    <x v="909"/>
    <x v="328"/>
    <x v="871"/>
    <x v="47"/>
    <n v="3"/>
    <x v="871"/>
    <s v="gcheekeqc@sitemeter.com"/>
    <x v="2"/>
    <x v="1"/>
    <x v="2"/>
    <n v="2.5"/>
    <x v="39"/>
    <x v="171"/>
    <x v="1"/>
    <x v="2"/>
    <x v="0"/>
  </r>
  <r>
    <x v="910"/>
    <x v="648"/>
    <x v="872"/>
    <x v="4"/>
    <n v="4"/>
    <x v="872"/>
    <s v="grattqd@phpbb.com"/>
    <x v="1"/>
    <x v="0"/>
    <x v="1"/>
    <n v="2.5"/>
    <x v="4"/>
    <x v="108"/>
    <x v="0"/>
    <x v="1"/>
    <x v="1"/>
  </r>
  <r>
    <x v="911"/>
    <x v="666"/>
    <x v="873"/>
    <x v="40"/>
    <n v="4"/>
    <x v="873"/>
    <s v=""/>
    <x v="0"/>
    <x v="0"/>
    <x v="1"/>
    <n v="0.2"/>
    <x v="34"/>
    <x v="79"/>
    <x v="0"/>
    <x v="1"/>
    <x v="0"/>
  </r>
  <r>
    <x v="912"/>
    <x v="577"/>
    <x v="874"/>
    <x v="40"/>
    <n v="6"/>
    <x v="874"/>
    <s v="ieberleinqf@hc360.com"/>
    <x v="0"/>
    <x v="0"/>
    <x v="1"/>
    <n v="0.2"/>
    <x v="34"/>
    <x v="137"/>
    <x v="0"/>
    <x v="1"/>
    <x v="1"/>
  </r>
  <r>
    <x v="913"/>
    <x v="114"/>
    <x v="875"/>
    <x v="17"/>
    <n v="2"/>
    <x v="875"/>
    <s v="jdrengqg@uiuc.edu"/>
    <x v="1"/>
    <x v="2"/>
    <x v="0"/>
    <n v="1"/>
    <x v="15"/>
    <x v="122"/>
    <x v="2"/>
    <x v="0"/>
    <x v="0"/>
  </r>
  <r>
    <x v="914"/>
    <x v="4"/>
    <x v="857"/>
    <x v="29"/>
    <n v="1"/>
    <x v="857"/>
    <s v=""/>
    <x v="0"/>
    <x v="2"/>
    <x v="1"/>
    <n v="0.2"/>
    <x v="10"/>
    <x v="84"/>
    <x v="2"/>
    <x v="1"/>
    <x v="0"/>
  </r>
  <r>
    <x v="915"/>
    <x v="667"/>
    <x v="857"/>
    <x v="47"/>
    <n v="1"/>
    <x v="857"/>
    <s v=""/>
    <x v="0"/>
    <x v="1"/>
    <x v="2"/>
    <n v="2.5"/>
    <x v="39"/>
    <x v="140"/>
    <x v="1"/>
    <x v="2"/>
    <x v="0"/>
  </r>
  <r>
    <x v="916"/>
    <x v="110"/>
    <x v="857"/>
    <x v="10"/>
    <n v="5"/>
    <x v="857"/>
    <s v=""/>
    <x v="0"/>
    <x v="1"/>
    <x v="1"/>
    <n v="2.5"/>
    <x v="8"/>
    <x v="11"/>
    <x v="1"/>
    <x v="1"/>
    <x v="0"/>
  </r>
  <r>
    <x v="916"/>
    <x v="110"/>
    <x v="857"/>
    <x v="4"/>
    <n v="2"/>
    <x v="857"/>
    <s v=""/>
    <x v="0"/>
    <x v="0"/>
    <x v="1"/>
    <n v="2.5"/>
    <x v="4"/>
    <x v="4"/>
    <x v="0"/>
    <x v="1"/>
    <x v="0"/>
  </r>
  <r>
    <x v="916"/>
    <x v="110"/>
    <x v="857"/>
    <x v="33"/>
    <n v="1"/>
    <x v="857"/>
    <s v=""/>
    <x v="0"/>
    <x v="1"/>
    <x v="1"/>
    <n v="1"/>
    <x v="28"/>
    <x v="151"/>
    <x v="1"/>
    <x v="1"/>
    <x v="0"/>
  </r>
  <r>
    <x v="916"/>
    <x v="110"/>
    <x v="857"/>
    <x v="29"/>
    <n v="2"/>
    <x v="857"/>
    <s v=""/>
    <x v="0"/>
    <x v="2"/>
    <x v="1"/>
    <n v="0.2"/>
    <x v="10"/>
    <x v="41"/>
    <x v="2"/>
    <x v="1"/>
    <x v="0"/>
  </r>
  <r>
    <x v="917"/>
    <x v="668"/>
    <x v="876"/>
    <x v="7"/>
    <n v="5"/>
    <x v="876"/>
    <s v="rstrathernqn@devhub.com"/>
    <x v="0"/>
    <x v="3"/>
    <x v="1"/>
    <n v="0.2"/>
    <x v="6"/>
    <x v="29"/>
    <x v="3"/>
    <x v="1"/>
    <x v="0"/>
  </r>
  <r>
    <x v="918"/>
    <x v="422"/>
    <x v="877"/>
    <x v="32"/>
    <n v="5"/>
    <x v="877"/>
    <s v="cmiguelqo@exblog.jp"/>
    <x v="0"/>
    <x v="3"/>
    <x v="1"/>
    <n v="1"/>
    <x v="27"/>
    <x v="180"/>
    <x v="3"/>
    <x v="1"/>
    <x v="0"/>
  </r>
  <r>
    <x v="919"/>
    <x v="669"/>
    <x v="878"/>
    <x v="30"/>
    <n v="2"/>
    <x v="878"/>
    <s v=""/>
    <x v="0"/>
    <x v="2"/>
    <x v="2"/>
    <n v="2.5"/>
    <x v="11"/>
    <x v="135"/>
    <x v="2"/>
    <x v="2"/>
    <x v="0"/>
  </r>
  <r>
    <x v="920"/>
    <x v="670"/>
    <x v="879"/>
    <x v="39"/>
    <n v="1"/>
    <x v="879"/>
    <s v="mrocksqq@exblog.jp"/>
    <x v="1"/>
    <x v="0"/>
    <x v="2"/>
    <n v="1"/>
    <x v="33"/>
    <x v="192"/>
    <x v="0"/>
    <x v="2"/>
    <x v="0"/>
  </r>
  <r>
    <x v="921"/>
    <x v="341"/>
    <x v="880"/>
    <x v="8"/>
    <n v="4"/>
    <x v="880"/>
    <s v="yburrellsqr@vinaora.com"/>
    <x v="0"/>
    <x v="0"/>
    <x v="0"/>
    <n v="0.5"/>
    <x v="7"/>
    <x v="86"/>
    <x v="0"/>
    <x v="0"/>
    <x v="0"/>
  </r>
  <r>
    <x v="922"/>
    <x v="671"/>
    <x v="881"/>
    <x v="46"/>
    <n v="5"/>
    <x v="881"/>
    <s v="cgoodrumqs@goodreads.com"/>
    <x v="0"/>
    <x v="1"/>
    <x v="1"/>
    <n v="0.2"/>
    <x v="38"/>
    <x v="110"/>
    <x v="1"/>
    <x v="1"/>
    <x v="1"/>
  </r>
  <r>
    <x v="923"/>
    <x v="672"/>
    <x v="882"/>
    <x v="0"/>
    <n v="3"/>
    <x v="882"/>
    <s v="jjefferysqt@blog.com"/>
    <x v="0"/>
    <x v="0"/>
    <x v="0"/>
    <n v="1"/>
    <x v="0"/>
    <x v="44"/>
    <x v="0"/>
    <x v="0"/>
    <x v="0"/>
  </r>
  <r>
    <x v="924"/>
    <x v="673"/>
    <x v="883"/>
    <x v="38"/>
    <n v="6"/>
    <x v="883"/>
    <s v="bwardellqu@adobe.com"/>
    <x v="0"/>
    <x v="1"/>
    <x v="1"/>
    <n v="0.5"/>
    <x v="32"/>
    <x v="119"/>
    <x v="1"/>
    <x v="1"/>
    <x v="0"/>
  </r>
  <r>
    <x v="925"/>
    <x v="674"/>
    <x v="884"/>
    <x v="25"/>
    <n v="1"/>
    <x v="884"/>
    <s v="zwalisiakqv@ucsd.edu"/>
    <x v="1"/>
    <x v="0"/>
    <x v="2"/>
    <n v="0.2"/>
    <x v="22"/>
    <x v="97"/>
    <x v="0"/>
    <x v="2"/>
    <x v="0"/>
  </r>
  <r>
    <x v="926"/>
    <x v="675"/>
    <x v="885"/>
    <x v="36"/>
    <n v="2"/>
    <x v="885"/>
    <s v="wleopoldqw@blogspot.com"/>
    <x v="0"/>
    <x v="0"/>
    <x v="0"/>
    <n v="0.2"/>
    <x v="14"/>
    <x v="9"/>
    <x v="0"/>
    <x v="0"/>
    <x v="1"/>
  </r>
  <r>
    <x v="927"/>
    <x v="539"/>
    <x v="886"/>
    <x v="5"/>
    <n v="1"/>
    <x v="886"/>
    <s v="cshaldersqx@cisco.com"/>
    <x v="0"/>
    <x v="3"/>
    <x v="2"/>
    <n v="1"/>
    <x v="2"/>
    <x v="2"/>
    <x v="3"/>
    <x v="2"/>
    <x v="0"/>
  </r>
  <r>
    <x v="928"/>
    <x v="676"/>
    <x v="887"/>
    <x v="1"/>
    <n v="1"/>
    <x v="887"/>
    <s v=""/>
    <x v="0"/>
    <x v="1"/>
    <x v="0"/>
    <n v="0.5"/>
    <x v="1"/>
    <x v="112"/>
    <x v="1"/>
    <x v="0"/>
    <x v="1"/>
  </r>
  <r>
    <x v="929"/>
    <x v="677"/>
    <x v="888"/>
    <x v="44"/>
    <n v="5"/>
    <x v="888"/>
    <s v="nfurberqz@jugem.jp"/>
    <x v="0"/>
    <x v="2"/>
    <x v="1"/>
    <n v="2.5"/>
    <x v="24"/>
    <x v="74"/>
    <x v="2"/>
    <x v="1"/>
    <x v="1"/>
  </r>
  <r>
    <x v="930"/>
    <x v="629"/>
    <x v="889"/>
    <x v="44"/>
    <n v="3"/>
    <x v="889"/>
    <s v=""/>
    <x v="1"/>
    <x v="2"/>
    <x v="1"/>
    <n v="2.5"/>
    <x v="24"/>
    <x v="49"/>
    <x v="2"/>
    <x v="1"/>
    <x v="0"/>
  </r>
  <r>
    <x v="931"/>
    <x v="662"/>
    <x v="890"/>
    <x v="24"/>
    <n v="6"/>
    <x v="890"/>
    <s v="ckeaver1@ucoz.com"/>
    <x v="0"/>
    <x v="3"/>
    <x v="0"/>
    <n v="1"/>
    <x v="21"/>
    <x v="75"/>
    <x v="3"/>
    <x v="0"/>
    <x v="1"/>
  </r>
  <r>
    <x v="932"/>
    <x v="102"/>
    <x v="891"/>
    <x v="34"/>
    <n v="1"/>
    <x v="891"/>
    <s v="sroseboroughr2@virginia.edu"/>
    <x v="0"/>
    <x v="0"/>
    <x v="2"/>
    <n v="0.5"/>
    <x v="29"/>
    <x v="147"/>
    <x v="0"/>
    <x v="2"/>
    <x v="0"/>
  </r>
  <r>
    <x v="933"/>
    <x v="678"/>
    <x v="892"/>
    <x v="16"/>
    <n v="3"/>
    <x v="892"/>
    <s v="ckingwellr3@squarespace.com"/>
    <x v="1"/>
    <x v="2"/>
    <x v="2"/>
    <n v="0.2"/>
    <x v="14"/>
    <x v="169"/>
    <x v="2"/>
    <x v="2"/>
    <x v="0"/>
  </r>
  <r>
    <x v="934"/>
    <x v="679"/>
    <x v="893"/>
    <x v="4"/>
    <n v="5"/>
    <x v="893"/>
    <s v="kcantor4@gmpg.org"/>
    <x v="0"/>
    <x v="0"/>
    <x v="1"/>
    <n v="2.5"/>
    <x v="4"/>
    <x v="187"/>
    <x v="0"/>
    <x v="1"/>
    <x v="0"/>
  </r>
  <r>
    <x v="935"/>
    <x v="112"/>
    <x v="894"/>
    <x v="41"/>
    <n v="5"/>
    <x v="894"/>
    <s v="mblakemorer5@nsw.gov.au"/>
    <x v="0"/>
    <x v="0"/>
    <x v="1"/>
    <n v="1"/>
    <x v="35"/>
    <x v="143"/>
    <x v="0"/>
    <x v="1"/>
    <x v="1"/>
  </r>
  <r>
    <x v="936"/>
    <x v="55"/>
    <x v="890"/>
    <x v="42"/>
    <n v="3"/>
    <x v="890"/>
    <s v="ckeaver1@ucoz.com"/>
    <x v="0"/>
    <x v="2"/>
    <x v="1"/>
    <n v="0.5"/>
    <x v="26"/>
    <x v="102"/>
    <x v="2"/>
    <x v="1"/>
    <x v="1"/>
  </r>
  <r>
    <x v="937"/>
    <x v="680"/>
    <x v="895"/>
    <x v="34"/>
    <n v="2"/>
    <x v="895"/>
    <s v=""/>
    <x v="0"/>
    <x v="0"/>
    <x v="2"/>
    <n v="0.5"/>
    <x v="29"/>
    <x v="175"/>
    <x v="0"/>
    <x v="2"/>
    <x v="1"/>
  </r>
  <r>
    <x v="938"/>
    <x v="94"/>
    <x v="896"/>
    <x v="47"/>
    <n v="6"/>
    <x v="896"/>
    <s v=""/>
    <x v="0"/>
    <x v="1"/>
    <x v="2"/>
    <n v="2.5"/>
    <x v="39"/>
    <x v="164"/>
    <x v="1"/>
    <x v="2"/>
    <x v="0"/>
  </r>
  <r>
    <x v="939"/>
    <x v="160"/>
    <x v="897"/>
    <x v="15"/>
    <n v="6"/>
    <x v="897"/>
    <s v="cbernardotr9@wix.com"/>
    <x v="0"/>
    <x v="1"/>
    <x v="2"/>
    <n v="0.2"/>
    <x v="13"/>
    <x v="6"/>
    <x v="1"/>
    <x v="2"/>
    <x v="0"/>
  </r>
  <r>
    <x v="940"/>
    <x v="681"/>
    <x v="898"/>
    <x v="41"/>
    <n v="2"/>
    <x v="898"/>
    <s v="kkemeryra@t.co"/>
    <x v="0"/>
    <x v="0"/>
    <x v="1"/>
    <n v="1"/>
    <x v="35"/>
    <x v="178"/>
    <x v="0"/>
    <x v="1"/>
    <x v="0"/>
  </r>
  <r>
    <x v="941"/>
    <x v="502"/>
    <x v="899"/>
    <x v="14"/>
    <n v="2"/>
    <x v="899"/>
    <s v="fparlotrb@forbes.com"/>
    <x v="0"/>
    <x v="2"/>
    <x v="0"/>
    <n v="0.2"/>
    <x v="12"/>
    <x v="52"/>
    <x v="2"/>
    <x v="0"/>
    <x v="0"/>
  </r>
  <r>
    <x v="942"/>
    <x v="682"/>
    <x v="900"/>
    <x v="28"/>
    <n v="1"/>
    <x v="900"/>
    <s v="rcheakrc@tripadvisor.com"/>
    <x v="1"/>
    <x v="1"/>
    <x v="0"/>
    <n v="2.5"/>
    <x v="25"/>
    <x v="176"/>
    <x v="1"/>
    <x v="0"/>
    <x v="0"/>
  </r>
  <r>
    <x v="943"/>
    <x v="683"/>
    <x v="901"/>
    <x v="41"/>
    <n v="4"/>
    <x v="901"/>
    <s v="kogeneayrd@utexas.edu"/>
    <x v="0"/>
    <x v="0"/>
    <x v="1"/>
    <n v="1"/>
    <x v="35"/>
    <x v="62"/>
    <x v="0"/>
    <x v="1"/>
    <x v="1"/>
  </r>
  <r>
    <x v="944"/>
    <x v="594"/>
    <x v="902"/>
    <x v="43"/>
    <n v="1"/>
    <x v="902"/>
    <s v="cayrere@symantec.com"/>
    <x v="0"/>
    <x v="3"/>
    <x v="0"/>
    <n v="2.5"/>
    <x v="36"/>
    <x v="116"/>
    <x v="3"/>
    <x v="0"/>
    <x v="1"/>
  </r>
  <r>
    <x v="945"/>
    <x v="389"/>
    <x v="903"/>
    <x v="20"/>
    <n v="5"/>
    <x v="903"/>
    <s v="lkynetonrf@macromedia.com"/>
    <x v="2"/>
    <x v="2"/>
    <x v="2"/>
    <n v="0.5"/>
    <x v="7"/>
    <x v="44"/>
    <x v="2"/>
    <x v="2"/>
    <x v="0"/>
  </r>
  <r>
    <x v="946"/>
    <x v="583"/>
    <x v="904"/>
    <x v="0"/>
    <n v="3"/>
    <x v="904"/>
    <s v=""/>
    <x v="2"/>
    <x v="0"/>
    <x v="0"/>
    <n v="1"/>
    <x v="0"/>
    <x v="44"/>
    <x v="0"/>
    <x v="0"/>
    <x v="0"/>
  </r>
  <r>
    <x v="947"/>
    <x v="647"/>
    <x v="905"/>
    <x v="37"/>
    <n v="6"/>
    <x v="905"/>
    <s v=""/>
    <x v="0"/>
    <x v="2"/>
    <x v="0"/>
    <n v="2.5"/>
    <x v="31"/>
    <x v="71"/>
    <x v="2"/>
    <x v="0"/>
    <x v="0"/>
  </r>
  <r>
    <x v="948"/>
    <x v="366"/>
    <x v="906"/>
    <x v="15"/>
    <n v="5"/>
    <x v="906"/>
    <s v=""/>
    <x v="0"/>
    <x v="1"/>
    <x v="2"/>
    <n v="0.2"/>
    <x v="13"/>
    <x v="94"/>
    <x v="1"/>
    <x v="2"/>
    <x v="1"/>
  </r>
  <r>
    <x v="948"/>
    <x v="366"/>
    <x v="906"/>
    <x v="31"/>
    <n v="2"/>
    <x v="906"/>
    <s v=""/>
    <x v="0"/>
    <x v="3"/>
    <x v="2"/>
    <n v="0.5"/>
    <x v="26"/>
    <x v="42"/>
    <x v="3"/>
    <x v="2"/>
    <x v="1"/>
  </r>
  <r>
    <x v="949"/>
    <x v="684"/>
    <x v="907"/>
    <x v="26"/>
    <n v="3"/>
    <x v="907"/>
    <s v=""/>
    <x v="1"/>
    <x v="3"/>
    <x v="1"/>
    <n v="2.5"/>
    <x v="23"/>
    <x v="63"/>
    <x v="3"/>
    <x v="1"/>
    <x v="1"/>
  </r>
  <r>
    <x v="950"/>
    <x v="506"/>
    <x v="908"/>
    <x v="2"/>
    <n v="6"/>
    <x v="908"/>
    <s v=""/>
    <x v="0"/>
    <x v="2"/>
    <x v="1"/>
    <n v="1"/>
    <x v="2"/>
    <x v="17"/>
    <x v="2"/>
    <x v="1"/>
    <x v="1"/>
  </r>
  <r>
    <x v="951"/>
    <x v="685"/>
    <x v="909"/>
    <x v="16"/>
    <n v="3"/>
    <x v="909"/>
    <s v=""/>
    <x v="1"/>
    <x v="2"/>
    <x v="2"/>
    <n v="0.2"/>
    <x v="14"/>
    <x v="169"/>
    <x v="2"/>
    <x v="2"/>
    <x v="1"/>
  </r>
  <r>
    <x v="952"/>
    <x v="191"/>
    <x v="910"/>
    <x v="4"/>
    <n v="1"/>
    <x v="910"/>
    <s v="jtewelsonrn@samsung.com"/>
    <x v="0"/>
    <x v="0"/>
    <x v="1"/>
    <n v="2.5"/>
    <x v="4"/>
    <x v="142"/>
    <x v="0"/>
    <x v="1"/>
    <x v="1"/>
  </r>
  <r>
    <x v="953"/>
    <x v="686"/>
    <x v="906"/>
    <x v="8"/>
    <n v="5"/>
    <x v="906"/>
    <s v=""/>
    <x v="0"/>
    <x v="0"/>
    <x v="0"/>
    <n v="0.5"/>
    <x v="7"/>
    <x v="44"/>
    <x v="0"/>
    <x v="0"/>
    <x v="1"/>
  </r>
  <r>
    <x v="954"/>
    <x v="687"/>
    <x v="906"/>
    <x v="19"/>
    <n v="4"/>
    <x v="906"/>
    <s v=""/>
    <x v="0"/>
    <x v="2"/>
    <x v="0"/>
    <n v="0.5"/>
    <x v="17"/>
    <x v="25"/>
    <x v="2"/>
    <x v="0"/>
    <x v="1"/>
  </r>
  <r>
    <x v="955"/>
    <x v="629"/>
    <x v="911"/>
    <x v="9"/>
    <n v="1"/>
    <x v="911"/>
    <s v="njennyrq@bigcartel.com"/>
    <x v="0"/>
    <x v="2"/>
    <x v="2"/>
    <n v="1"/>
    <x v="0"/>
    <x v="138"/>
    <x v="2"/>
    <x v="2"/>
    <x v="1"/>
  </r>
  <r>
    <x v="956"/>
    <x v="688"/>
    <x v="912"/>
    <x v="18"/>
    <n v="3"/>
    <x v="912"/>
    <s v=""/>
    <x v="2"/>
    <x v="1"/>
    <x v="0"/>
    <n v="0.2"/>
    <x v="16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C354B-27BB-4CFE-B8CE-2A3A9416CED0}" name="PivotTable5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22:B26" firstHeaderRow="1" firstDataRow="1" firstDataCol="1"/>
  <pivotFields count="16">
    <pivotField showAll="0"/>
    <pivotField axis="axisRow" numFmtId="167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dataField="1" numFmtId="165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showAll="0"/>
    <pivotField showAll="0"/>
    <pivotField showAll="0"/>
  </pivotFields>
  <rowFields count="1">
    <field x="1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BABDC-823D-4A93-AA7B-910363991972}" name="PivotTable1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B7" firstHeaderRow="1" firstDataRow="1" firstDataCol="1"/>
  <pivotFields count="16">
    <pivotField showAll="0"/>
    <pivotField axis="axisRow" numFmtId="167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dataField="1" numFmtId="165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showAll="0"/>
    <pivotField showAll="0"/>
    <pivotField showAll="0"/>
  </pivotFields>
  <rowFields count="1">
    <field x="1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Sales" fld="12" baseField="1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92EE0-EFE5-4BEF-82CB-DD8E5C928053}" name="PivotTable1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B7" firstHeaderRow="1" firstDataRow="1" firstDataCol="1"/>
  <pivotFields count="16">
    <pivotField showAll="0"/>
    <pivotField axis="axisRow" numFmtId="167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dataField="1" numFmtId="165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showAll="0"/>
    <pivotField showAll="0"/>
    <pivotField showAll="0"/>
  </pivotFields>
  <rowFields count="1">
    <field x="1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CBA3-E73B-4CEF-BD34-CB9364FB4CCA}" name="PivotTable3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A3:B6" firstHeaderRow="1" firstDataRow="1" firstDataCol="1"/>
  <pivotFields count="16">
    <pivotField compact="0" outline="0" showAll="0" defaultSubtota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numFmtId="167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outline="0" showAll="0" defaultSubtota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outline="0" showAll="0" defaultSubtotal="0"/>
    <pivotField compact="0" outline="0" showAll="0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outline="0" showAll="0" defaultSubtotal="0"/>
    <pivotField axis="axisRow" compact="0" outline="0" showAll="0" defaultSubtotal="0">
      <items count="3">
        <item x="1"/>
        <item x="2"/>
        <item x="0"/>
      </items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6" outline="0" showAll="0" defaultSubtotal="0"/>
    <pivotField compact="0" numFmtId="165" outline="0" showAll="0" defaultSubtotal="0"/>
    <pivotField dataField="1" compact="0" numFmtId="165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howAll="0" defaultSubtotal="0">
      <items count="2">
        <item x="1"/>
        <item x="0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FE370-6488-4035-B79E-71078072F45D}" name="PivotTable3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A3:E16" firstHeaderRow="1" firstDataRow="2" firstDataCol="2"/>
  <pivotFields count="16">
    <pivotField compact="0" outline="0" showAll="0" defaultSubtota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numFmtId="167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outline="0" showAll="0" defaultSubtota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outline="0" showAll="0" defaultSubtotal="0"/>
    <pivotField compact="0" outline="0" showAll="0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6" outline="0" showAll="0" defaultSubtotal="0"/>
    <pivotField compact="0" numFmtId="165" outline="0" showAll="0" defaultSubtotal="0"/>
    <pivotField dataField="1" compact="0" numFmtId="165" outline="0" showAll="0" defaultSubtotal="0"/>
    <pivotField axis="axisRow" compact="0" outline="0" showAll="0" defaultSubtotal="0">
      <items count="4">
        <item x="2"/>
        <item x="1"/>
        <item x="3"/>
        <item x="0"/>
      </items>
    </pivotField>
    <pivotField axis="axisRow" compact="0" outline="0" showAll="0" defaultSubtotal="0">
      <items count="3">
        <item x="2"/>
        <item x="1"/>
        <item x="0"/>
      </items>
    </pivotField>
    <pivotField compact="0" outline="0" showAll="0" defaultSubtotal="0">
      <items count="2">
        <item x="1"/>
        <item x="0"/>
      </items>
    </pivotField>
  </pivotFields>
  <rowFields count="2">
    <field x="13"/>
    <field x="14"/>
  </rowFields>
  <rowItems count="1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</rowItems>
  <colFields count="1">
    <field x="7"/>
  </colFields>
  <colItems count="3">
    <i>
      <x/>
    </i>
    <i>
      <x v="1"/>
    </i>
    <i>
      <x v="2"/>
    </i>
  </colItems>
  <dataFields count="1">
    <dataField name="Sum of Sales" fld="12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126DE-0864-424A-938C-8DAFE4ED7BFD}" name="PivotTable4" cacheId="3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E7" firstHeaderRow="1" firstDataRow="2" firstDataCol="1"/>
  <pivotFields count="16">
    <pivotField showAll="0" defaultSubtotal="0"/>
    <pivotField numFmtId="167"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1"/>
        <item x="2"/>
        <item x="0"/>
      </items>
    </pivotField>
    <pivotField showAll="0" defaultSubtotal="0"/>
    <pivotField showAll="0" defaultSubtotal="0"/>
    <pivotField numFmtId="166" showAll="0" defaultSubtotal="0"/>
    <pivotField dataField="1" numFmtId="165" showAll="0" defaultSubtota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numFmtId="165" showAll="0" defaultSubtotal="0"/>
    <pivotField axis="axisCol"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</pivotFields>
  <rowFields count="1">
    <field x="7"/>
  </rowFields>
  <rowItems count="3">
    <i>
      <x/>
    </i>
    <i>
      <x v="1"/>
    </i>
    <i>
      <x v="2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Average of Unit Price" fld="11" subtotal="average" baseField="7" baseItem="0" numFmtId="1"/>
  </dataFields>
  <formats count="2">
    <format dxfId="12">
      <pivotArea collapsedLevelsAreSubtotals="1" fieldPosition="0">
        <references count="2">
          <reference field="7" count="1">
            <x v="1"/>
          </reference>
          <reference field="13" count="1" selected="0">
            <x v="3"/>
          </reference>
        </references>
      </pivotArea>
    </format>
    <format dxfId="13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35578-5E76-4C27-B371-D78B0CCF371D}" name="Orders" displayName="Orders" ref="A1:P1001" totalsRowShown="0">
  <autoFilter ref="A1:P1001" xr:uid="{D1035578-5E76-4C27-B371-D78B0CCF371D}">
    <filterColumn colId="1">
      <filters>
        <dateGroupItem year="2022" dateTimeGrouping="year"/>
      </filters>
    </filterColumn>
  </autoFilter>
  <tableColumns count="16">
    <tableColumn id="1" xr3:uid="{F1320B47-7CAF-45D1-84A3-DA7E7A7DB28A}" name="Order ID" dataDxfId="24"/>
    <tableColumn id="2" xr3:uid="{23BAD917-40CC-42FE-B197-F80A24E5A9BA}" name="Order Date" dataDxfId="23"/>
    <tableColumn id="3" xr3:uid="{10BD304F-2A54-4A91-B6D1-0DB9D60F97D0}" name="Customer ID" dataDxfId="22"/>
    <tableColumn id="4" xr3:uid="{AC3E550D-37C9-404C-839F-8ED21CC90B23}" name="Product ID"/>
    <tableColumn id="5" xr3:uid="{1143BEB5-3195-4F5D-AE92-A086D638E591}" name="Quantity" dataDxfId="21"/>
    <tableColumn id="6" xr3:uid="{E90374FF-59A0-4432-A954-A6EBDA5C37C3}" name="Customer Name" dataDxfId="20">
      <calculatedColumnFormula>_xlfn.XLOOKUP(C2,customers!$A$1:$A$1001,customers!$B$1:$B$1001,"",0)</calculatedColumnFormula>
    </tableColumn>
    <tableColumn id="7" xr3:uid="{E8F8ACF8-52F6-4BFE-BDD3-DD46D68246C0}" name="Email" dataDxfId="19">
      <calculatedColumnFormula>IF(_xlfn.XLOOKUP(C2,customers!$A$1:$A$1001,customers!$C$1:$C$1001,,0)=0,"",_xlfn.XLOOKUP(C2,customers!$A$1:$A$1001,customers!$C$1:$C$1001,,0))</calculatedColumnFormula>
    </tableColumn>
    <tableColumn id="8" xr3:uid="{AC243460-967A-405C-A065-D6081FCBC694}" name="Country" dataDxfId="18">
      <calculatedColumnFormula>_xlfn.XLOOKUP(C2,customers!$A$1:$A$1001,customers!$G$1:$G$1001,,0)</calculatedColumnFormula>
    </tableColumn>
    <tableColumn id="9" xr3:uid="{18FD130E-DC4A-4B22-BF17-D186AF412A53}" name="Coffee Type">
      <calculatedColumnFormula>INDEX(products!$A$1:$G$49,MATCH(orders!$D2,products!$A$1:$A$49,0),MATCH(orders!I$1,products!$A$1:$G$1,0))</calculatedColumnFormula>
    </tableColumn>
    <tableColumn id="10" xr3:uid="{74FCEC9C-3718-4B3F-8482-C8BA574CD055}" name="Roast Type">
      <calculatedColumnFormula>INDEX(products!$A$1:$G$49,MATCH(orders!$D2,products!$A$1:$A$49,0),MATCH(orders!J$1,products!$A$1:$G$1,0))</calculatedColumnFormula>
    </tableColumn>
    <tableColumn id="11" xr3:uid="{066405E5-3A6C-44FD-8357-9F096EC0B34A}" name="Size" dataDxfId="17">
      <calculatedColumnFormula>INDEX(products!$A$1:$G$49,MATCH(orders!$D2,products!$A$1:$A$49,0),MATCH(orders!K$1,products!$A$1:$G$1,0))</calculatedColumnFormula>
    </tableColumn>
    <tableColumn id="12" xr3:uid="{6C7E45C2-847C-4137-97AB-DAB46D1268A5}" name="Unit Price" dataDxfId="16">
      <calculatedColumnFormula>INDEX(products!$A$1:$G$49,MATCH(orders!$D2,products!$A$1:$A$49,0),MATCH(orders!L$1,products!$A$1:$G$1,0))</calculatedColumnFormula>
    </tableColumn>
    <tableColumn id="13" xr3:uid="{A755CC63-4C17-4472-9BBB-13FCE2BD8D72}" name="Sales" dataDxfId="15">
      <calculatedColumnFormula>E2*L2</calculatedColumnFormula>
    </tableColumn>
    <tableColumn id="14" xr3:uid="{FDA66FB8-1AE9-4596-927E-74BB5D8EEAF5}" name="Coffee Type name">
      <calculatedColumnFormula>IF(I2="Rob","Robusta",IF(I2="Exc","Excelsa",IF(I2="Ara","Arabica",IF(I2="Lib","Liberica",""))))</calculatedColumnFormula>
    </tableColumn>
    <tableColumn id="15" xr3:uid="{17CE4944-D679-4FB3-BC2B-D00F61014216}" name="Roast Type name">
      <calculatedColumnFormula>IF(J2="M","Medium",IF(J2="L","Light",IF(J2="D","Dark","")))</calculatedColumnFormula>
    </tableColumn>
    <tableColumn id="16" xr3:uid="{FE8D5812-D1DF-411E-B9AD-092189BB1409}" name="Loyalty Card" dataDxfId="14">
      <calculatedColumnFormula>_xlfn.XLOOKUP(Orders[[#This Row],[Customer ID]],customers!$A$1:$A$1001,customers!$I$1:$I$1001,,0)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1EB-2366-435E-AE3D-2E6F6DFDC20F}">
  <dimension ref="A3:B26"/>
  <sheetViews>
    <sheetView tabSelected="1" topLeftCell="A2"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8" t="s">
        <v>6206</v>
      </c>
      <c r="B3" t="s">
        <v>6199</v>
      </c>
    </row>
    <row r="4" spans="1:2" x14ac:dyDescent="0.3">
      <c r="A4" s="11" t="s">
        <v>6204</v>
      </c>
      <c r="B4" s="10">
        <v>12187.165000000001</v>
      </c>
    </row>
    <row r="5" spans="1:2" x14ac:dyDescent="0.3">
      <c r="A5" s="11" t="s">
        <v>6205</v>
      </c>
      <c r="B5" s="10">
        <v>12117.545</v>
      </c>
    </row>
    <row r="6" spans="1:2" x14ac:dyDescent="0.3">
      <c r="A6" s="11" t="s">
        <v>6197</v>
      </c>
      <c r="B6" s="10">
        <v>13766.109999999999</v>
      </c>
    </row>
    <row r="7" spans="1:2" x14ac:dyDescent="0.3">
      <c r="A7" s="11" t="s">
        <v>6198</v>
      </c>
      <c r="B7" s="10">
        <v>7063.435000000004</v>
      </c>
    </row>
    <row r="22" spans="1:2" x14ac:dyDescent="0.3">
      <c r="A22" s="8" t="s">
        <v>6206</v>
      </c>
      <c r="B22" t="s">
        <v>6199</v>
      </c>
    </row>
    <row r="23" spans="1:2" x14ac:dyDescent="0.3">
      <c r="A23" s="11" t="s">
        <v>6204</v>
      </c>
      <c r="B23" s="10">
        <v>12187.165000000001</v>
      </c>
    </row>
    <row r="24" spans="1:2" x14ac:dyDescent="0.3">
      <c r="A24" s="11" t="s">
        <v>6205</v>
      </c>
      <c r="B24" s="10">
        <v>12117.545</v>
      </c>
    </row>
    <row r="25" spans="1:2" x14ac:dyDescent="0.3">
      <c r="A25" s="11" t="s">
        <v>6197</v>
      </c>
      <c r="B25" s="10">
        <v>13766.109999999999</v>
      </c>
    </row>
    <row r="26" spans="1:2" x14ac:dyDescent="0.3">
      <c r="A26" s="11" t="s">
        <v>6198</v>
      </c>
      <c r="B26" s="10">
        <v>7063.435000000004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A5E8-D61A-4808-984E-64B894F0C826}">
  <dimension ref="A3:B7"/>
  <sheetViews>
    <sheetView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8" t="s">
        <v>6206</v>
      </c>
      <c r="B3" t="s">
        <v>6199</v>
      </c>
    </row>
    <row r="4" spans="1:2" x14ac:dyDescent="0.3">
      <c r="A4" s="11" t="s">
        <v>6204</v>
      </c>
      <c r="B4" s="10">
        <v>12187.165000000001</v>
      </c>
    </row>
    <row r="5" spans="1:2" x14ac:dyDescent="0.3">
      <c r="A5" s="11" t="s">
        <v>6205</v>
      </c>
      <c r="B5" s="10">
        <v>12117.545</v>
      </c>
    </row>
    <row r="6" spans="1:2" x14ac:dyDescent="0.3">
      <c r="A6" s="11" t="s">
        <v>6197</v>
      </c>
      <c r="B6" s="10">
        <v>13766.109999999999</v>
      </c>
    </row>
    <row r="7" spans="1:2" x14ac:dyDescent="0.3">
      <c r="A7" s="11" t="s">
        <v>6198</v>
      </c>
      <c r="B7" s="10">
        <v>7063.435000000004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E9A3-AC3E-42F0-99A0-02BBC294FFBF}">
  <dimension ref="A3:B6"/>
  <sheetViews>
    <sheetView topLeftCell="A2" zoomScale="111" workbookViewId="0">
      <selection activeCell="N6" sqref="N6"/>
    </sheetView>
  </sheetViews>
  <sheetFormatPr defaultRowHeight="14.4" x14ac:dyDescent="0.3"/>
  <cols>
    <col min="1" max="1" width="14.5546875" bestFit="1" customWidth="1"/>
    <col min="2" max="4" width="11.6640625" bestFit="1" customWidth="1"/>
    <col min="5" max="5" width="9" bestFit="1" customWidth="1"/>
    <col min="6" max="7" width="8" bestFit="1" customWidth="1"/>
    <col min="8" max="8" width="9" bestFit="1" customWidth="1"/>
    <col min="9" max="9" width="8" bestFit="1" customWidth="1"/>
    <col min="10" max="11" width="9" bestFit="1" customWidth="1"/>
    <col min="12" max="13" width="8" bestFit="1" customWidth="1"/>
    <col min="14" max="14" width="10.77734375" bestFit="1" customWidth="1"/>
  </cols>
  <sheetData>
    <row r="3" spans="1:2" x14ac:dyDescent="0.3">
      <c r="A3" s="8" t="s">
        <v>7</v>
      </c>
      <c r="B3" t="s">
        <v>6199</v>
      </c>
    </row>
    <row r="4" spans="1:2" x14ac:dyDescent="0.3">
      <c r="A4" t="s">
        <v>318</v>
      </c>
      <c r="B4" s="10">
        <v>6696.8649999999989</v>
      </c>
    </row>
    <row r="5" spans="1:2" x14ac:dyDescent="0.3">
      <c r="A5" t="s">
        <v>28</v>
      </c>
      <c r="B5" s="10">
        <v>2798.5050000000001</v>
      </c>
    </row>
    <row r="6" spans="1:2" x14ac:dyDescent="0.3">
      <c r="A6" t="s">
        <v>19</v>
      </c>
      <c r="B6" s="10">
        <v>35638.88499999998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0512-4D19-4F7B-935D-2E7EB4BACDB0}">
  <dimension ref="A3:E16"/>
  <sheetViews>
    <sheetView topLeftCell="A2" zoomScale="111" workbookViewId="0">
      <selection activeCell="N20" sqref="N20"/>
    </sheetView>
  </sheetViews>
  <sheetFormatPr defaultRowHeight="14.4" x14ac:dyDescent="0.3"/>
  <cols>
    <col min="1" max="1" width="18.6640625" bestFit="1" customWidth="1"/>
    <col min="2" max="2" width="17.77734375" bestFit="1" customWidth="1"/>
    <col min="3" max="3" width="10" bestFit="1" customWidth="1"/>
    <col min="4" max="4" width="14.77734375" bestFit="1" customWidth="1"/>
    <col min="5" max="5" width="12.21875" bestFit="1" customWidth="1"/>
    <col min="6" max="7" width="8" bestFit="1" customWidth="1"/>
    <col min="8" max="8" width="9" bestFit="1" customWidth="1"/>
    <col min="9" max="9" width="8" bestFit="1" customWidth="1"/>
    <col min="10" max="11" width="9" bestFit="1" customWidth="1"/>
    <col min="12" max="13" width="8" bestFit="1" customWidth="1"/>
    <col min="14" max="14" width="10.77734375" bestFit="1" customWidth="1"/>
  </cols>
  <sheetData>
    <row r="3" spans="1:5" x14ac:dyDescent="0.3">
      <c r="A3" s="8" t="s">
        <v>6199</v>
      </c>
      <c r="C3" s="8" t="s">
        <v>7</v>
      </c>
    </row>
    <row r="4" spans="1:5" x14ac:dyDescent="0.3">
      <c r="A4" s="8" t="s">
        <v>6195</v>
      </c>
      <c r="B4" s="8" t="s">
        <v>6196</v>
      </c>
      <c r="C4" t="s">
        <v>318</v>
      </c>
      <c r="D4" t="s">
        <v>28</v>
      </c>
      <c r="E4" t="s">
        <v>19</v>
      </c>
    </row>
    <row r="5" spans="1:5" x14ac:dyDescent="0.3">
      <c r="A5" t="s">
        <v>6200</v>
      </c>
      <c r="B5" t="s">
        <v>6208</v>
      </c>
      <c r="C5" s="10">
        <v>453.71999999999997</v>
      </c>
      <c r="D5" s="10">
        <v>167.16</v>
      </c>
      <c r="E5" s="10">
        <v>2426.8049999999998</v>
      </c>
    </row>
    <row r="6" spans="1:5" x14ac:dyDescent="0.3">
      <c r="B6" t="s">
        <v>6209</v>
      </c>
      <c r="C6" s="10">
        <v>470.08499999999992</v>
      </c>
      <c r="D6" s="10">
        <v>7.77</v>
      </c>
      <c r="E6" s="10">
        <v>3754.2049999999999</v>
      </c>
    </row>
    <row r="7" spans="1:5" x14ac:dyDescent="0.3">
      <c r="B7" t="s">
        <v>6210</v>
      </c>
      <c r="C7" s="10">
        <v>436.5</v>
      </c>
      <c r="D7" s="10">
        <v>92.25</v>
      </c>
      <c r="E7" s="10">
        <v>3960</v>
      </c>
    </row>
    <row r="8" spans="1:5" x14ac:dyDescent="0.3">
      <c r="A8" t="s">
        <v>6201</v>
      </c>
      <c r="B8" t="s">
        <v>6208</v>
      </c>
      <c r="C8" s="10">
        <v>495.72000000000008</v>
      </c>
      <c r="D8" s="10">
        <v>362.07000000000005</v>
      </c>
      <c r="E8" s="10">
        <v>2569.7249999999999</v>
      </c>
    </row>
    <row r="9" spans="1:5" x14ac:dyDescent="0.3">
      <c r="B9" t="s">
        <v>6209</v>
      </c>
      <c r="C9" s="10">
        <v>643.00499999999988</v>
      </c>
      <c r="D9" s="10">
        <v>246.50999999999996</v>
      </c>
      <c r="E9" s="10">
        <v>3907.0349999999994</v>
      </c>
    </row>
    <row r="10" spans="1:5" x14ac:dyDescent="0.3">
      <c r="B10" t="s">
        <v>6210</v>
      </c>
      <c r="C10" s="10">
        <v>394.625</v>
      </c>
      <c r="D10" s="10">
        <v>341</v>
      </c>
      <c r="E10" s="10">
        <v>3346.75</v>
      </c>
    </row>
    <row r="11" spans="1:5" x14ac:dyDescent="0.3">
      <c r="A11" t="s">
        <v>6202</v>
      </c>
      <c r="B11" t="s">
        <v>6208</v>
      </c>
      <c r="C11" s="10">
        <v>1033.4099999999999</v>
      </c>
      <c r="D11" s="10">
        <v>233.09999999999997</v>
      </c>
      <c r="E11" s="10">
        <v>2829.5749999999971</v>
      </c>
    </row>
    <row r="12" spans="1:5" x14ac:dyDescent="0.3">
      <c r="B12" t="s">
        <v>6209</v>
      </c>
      <c r="C12" s="10">
        <v>741.77999999999986</v>
      </c>
      <c r="D12" s="10">
        <v>454.89499999999998</v>
      </c>
      <c r="E12" s="10">
        <v>3369.7100000000019</v>
      </c>
    </row>
    <row r="13" spans="1:5" x14ac:dyDescent="0.3">
      <c r="B13" t="s">
        <v>6210</v>
      </c>
      <c r="C13" s="10">
        <v>391.3950000000001</v>
      </c>
      <c r="D13" s="10">
        <v>189.15</v>
      </c>
      <c r="E13" s="10">
        <v>2811.06</v>
      </c>
    </row>
    <row r="14" spans="1:5" x14ac:dyDescent="0.3">
      <c r="A14" t="s">
        <v>6203</v>
      </c>
      <c r="B14" t="s">
        <v>6208</v>
      </c>
      <c r="C14" s="10">
        <v>680.2</v>
      </c>
      <c r="D14" s="10">
        <v>100.23999999999998</v>
      </c>
      <c r="E14" s="10">
        <v>1827.5899999999995</v>
      </c>
    </row>
    <row r="15" spans="1:5" x14ac:dyDescent="0.3">
      <c r="B15" t="s">
        <v>6209</v>
      </c>
      <c r="C15" s="10">
        <v>750.45999999999981</v>
      </c>
      <c r="D15" s="10">
        <v>234.21999999999997</v>
      </c>
      <c r="E15" s="10">
        <v>2774.7900000000009</v>
      </c>
    </row>
    <row r="16" spans="1:5" x14ac:dyDescent="0.3">
      <c r="B16" t="s">
        <v>6210</v>
      </c>
      <c r="C16" s="10">
        <v>205.96499999999997</v>
      </c>
      <c r="D16" s="10">
        <v>370.14</v>
      </c>
      <c r="E16" s="10">
        <v>2061.6400000000003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C53A-F9DF-4395-8927-F5DFDC5223CE}">
  <dimension ref="A3:E7"/>
  <sheetViews>
    <sheetView workbookViewId="0">
      <selection activeCell="B5" sqref="B5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7" bestFit="1" customWidth="1"/>
    <col min="4" max="4" width="7.44140625" bestFit="1" customWidth="1"/>
    <col min="5" max="5" width="7.88671875" bestFit="1" customWidth="1"/>
    <col min="6" max="6" width="10.77734375" bestFit="1" customWidth="1"/>
    <col min="7" max="23" width="6.6640625" bestFit="1" customWidth="1"/>
    <col min="24" max="41" width="7.6640625" bestFit="1" customWidth="1"/>
    <col min="42" max="42" width="11.88671875" bestFit="1" customWidth="1"/>
  </cols>
  <sheetData>
    <row r="3" spans="1:5" x14ac:dyDescent="0.3">
      <c r="A3" s="8" t="s">
        <v>6211</v>
      </c>
      <c r="B3" s="8" t="s">
        <v>6207</v>
      </c>
    </row>
    <row r="4" spans="1:5" x14ac:dyDescent="0.3">
      <c r="A4" s="8" t="s">
        <v>6206</v>
      </c>
      <c r="B4" t="s">
        <v>6200</v>
      </c>
      <c r="C4" t="s">
        <v>6201</v>
      </c>
      <c r="D4" t="s">
        <v>6202</v>
      </c>
      <c r="E4" t="s">
        <v>6203</v>
      </c>
    </row>
    <row r="5" spans="1:5" x14ac:dyDescent="0.3">
      <c r="A5" s="12" t="s">
        <v>318</v>
      </c>
      <c r="B5" s="13">
        <v>10.038170731707316</v>
      </c>
      <c r="C5" s="13">
        <v>14.358142857142857</v>
      </c>
      <c r="D5" s="13">
        <v>16.528846153846153</v>
      </c>
      <c r="E5" s="13">
        <v>11.360263157894735</v>
      </c>
    </row>
    <row r="6" spans="1:5" x14ac:dyDescent="0.3">
      <c r="A6" s="12" t="s">
        <v>28</v>
      </c>
      <c r="B6" s="13">
        <v>10.375</v>
      </c>
      <c r="C6" s="13">
        <v>13.445217391304348</v>
      </c>
      <c r="D6" s="13">
        <v>12.170238095238094</v>
      </c>
      <c r="E6" s="13">
        <v>9.7131818181818161</v>
      </c>
    </row>
    <row r="7" spans="1:5" x14ac:dyDescent="0.3">
      <c r="A7" s="12" t="s">
        <v>19</v>
      </c>
      <c r="B7" s="13">
        <v>12.76372685185186</v>
      </c>
      <c r="C7" s="13">
        <v>14.375132275132275</v>
      </c>
      <c r="D7" s="13">
        <v>14.453484042553189</v>
      </c>
      <c r="E7" s="13">
        <v>10.361408839779006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zoomScale="115" zoomScaleNormal="115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20.44140625" bestFit="1" customWidth="1"/>
    <col min="7" max="7" width="36" bestFit="1" customWidth="1"/>
    <col min="8" max="8" width="16.33203125" bestFit="1" customWidth="1"/>
    <col min="9" max="9" width="12.88671875" customWidth="1"/>
    <col min="10" max="10" width="11.6640625" customWidth="1"/>
    <col min="11" max="11" width="8" customWidth="1"/>
    <col min="12" max="12" width="11.77734375" customWidth="1"/>
    <col min="13" max="13" width="9.21875" customWidth="1"/>
    <col min="14" max="14" width="17.88671875" customWidth="1"/>
    <col min="15" max="15" width="16.88671875" customWidth="1"/>
    <col min="16" max="16" width="13.6640625" bestFit="1" customWidth="1"/>
  </cols>
  <sheetData>
    <row r="1" spans="1:16" x14ac:dyDescent="0.3">
      <c r="A1" s="2" t="s">
        <v>0</v>
      </c>
      <c r="B1" s="7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5" t="s">
        <v>12</v>
      </c>
      <c r="L1" s="3" t="s">
        <v>13</v>
      </c>
      <c r="M1" s="3" t="s">
        <v>15</v>
      </c>
      <c r="N1" s="2" t="s">
        <v>6195</v>
      </c>
      <c r="O1" s="2" t="s">
        <v>6196</v>
      </c>
      <c r="P1" s="9" t="s">
        <v>6188</v>
      </c>
    </row>
    <row r="2" spans="1:16" hidden="1" x14ac:dyDescent="0.3">
      <c r="A2" s="2" t="s">
        <v>490</v>
      </c>
      <c r="B2" s="7">
        <v>43713</v>
      </c>
      <c r="C2" s="2" t="s">
        <v>491</v>
      </c>
      <c r="D2" t="s">
        <v>6137</v>
      </c>
      <c r="E2" s="2">
        <v>2</v>
      </c>
      <c r="F2" s="2" t="str">
        <f>_xlfn.XLOOKUP(C2,customers!$A$1:$A$1001,customers!$B$1:$B$1001,"",0)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6">
        <f>INDEX(products!$A$1:$G$49,MATCH(orders!$D2,products!$A$1:$A$49,0),MATCH(orders!K$1,products!$A$1:$G$1,0))</f>
        <v>1</v>
      </c>
      <c r="L2" s="4">
        <f>INDEX(products!$A$1:$G$49,MATCH(orders!$D2,products!$A$1:$A$49,0),MATCH(orders!L$1,products!$A$1:$G$1,0))</f>
        <v>9.9499999999999993</v>
      </c>
      <c r="M2" s="4">
        <f>E2*L2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hidden="1" x14ac:dyDescent="0.3">
      <c r="A3" s="2" t="s">
        <v>490</v>
      </c>
      <c r="B3" s="7">
        <v>43713</v>
      </c>
      <c r="C3" s="2" t="s">
        <v>491</v>
      </c>
      <c r="D3" t="s">
        <v>6138</v>
      </c>
      <c r="E3" s="2">
        <v>5</v>
      </c>
      <c r="F3" s="2" t="str">
        <f>_xlfn.XLOOKUP(C3,customers!$A$1:$A$1001,customers!$B$1:$B$1001,"",0)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6">
        <f>INDEX(products!$A$1:$G$49,MATCH(orders!$D3,products!$A$1:$A$49,0),MATCH(orders!K$1,products!$A$1:$G$1,0))</f>
        <v>0.5</v>
      </c>
      <c r="L3" s="4">
        <f>INDEX(products!$A$1:$G$49,MATCH(orders!$D3,products!$A$1:$A$49,0),MATCH(orders!L$1,products!$A$1:$G$1,0))</f>
        <v>8.25</v>
      </c>
      <c r="M3" s="4">
        <f t="shared" ref="M3:M66" si="0">E3*L3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hidden="1" x14ac:dyDescent="0.3">
      <c r="A4" s="2" t="s">
        <v>501</v>
      </c>
      <c r="B4" s="7">
        <v>44364</v>
      </c>
      <c r="C4" s="2" t="s">
        <v>502</v>
      </c>
      <c r="D4" t="s">
        <v>6139</v>
      </c>
      <c r="E4" s="2">
        <v>1</v>
      </c>
      <c r="F4" s="2" t="str">
        <f>_xlfn.XLOOKUP(C4,customers!$A$1:$A$1001,customers!$B$1:$B$1001,"",0)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6">
        <f>INDEX(products!$A$1:$G$49,MATCH(orders!$D4,products!$A$1:$A$49,0),MATCH(orders!K$1,products!$A$1:$G$1,0))</f>
        <v>1</v>
      </c>
      <c r="L4" s="4">
        <f>INDEX(products!$A$1:$G$49,MATCH(orders!$D4,products!$A$1:$A$49,0),MATCH(orders!L$1,products!$A$1:$G$1,0))</f>
        <v>12.95</v>
      </c>
      <c r="M4" s="4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hidden="1" x14ac:dyDescent="0.3">
      <c r="A5" s="2" t="s">
        <v>512</v>
      </c>
      <c r="B5" s="7">
        <v>44392</v>
      </c>
      <c r="C5" s="2" t="s">
        <v>513</v>
      </c>
      <c r="D5" t="s">
        <v>6140</v>
      </c>
      <c r="E5" s="2">
        <v>2</v>
      </c>
      <c r="F5" s="2" t="str">
        <f>_xlfn.XLOOKUP(C5,customers!$A$1:$A$1001,customers!$B$1:$B$1001,"",0)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6">
        <f>INDEX(products!$A$1:$G$49,MATCH(orders!$D5,products!$A$1:$A$49,0),MATCH(orders!K$1,products!$A$1:$G$1,0))</f>
        <v>1</v>
      </c>
      <c r="L5" s="4">
        <f>INDEX(products!$A$1:$G$49,MATCH(orders!$D5,products!$A$1:$A$49,0),MATCH(orders!L$1,products!$A$1:$G$1,0))</f>
        <v>13.75</v>
      </c>
      <c r="M5" s="4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hidden="1" x14ac:dyDescent="0.3">
      <c r="A6" s="2" t="s">
        <v>512</v>
      </c>
      <c r="B6" s="7">
        <v>44392</v>
      </c>
      <c r="C6" s="2" t="s">
        <v>513</v>
      </c>
      <c r="D6" t="s">
        <v>6141</v>
      </c>
      <c r="E6" s="2">
        <v>2</v>
      </c>
      <c r="F6" s="2" t="str">
        <f>_xlfn.XLOOKUP(C6,customers!$A$1:$A$1001,customers!$B$1:$B$1001,"",0)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6">
        <f>INDEX(products!$A$1:$G$49,MATCH(orders!$D6,products!$A$1:$A$49,0),MATCH(orders!K$1,products!$A$1:$G$1,0))</f>
        <v>2.5</v>
      </c>
      <c r="L6" s="4">
        <f>INDEX(products!$A$1:$G$49,MATCH(orders!$D6,products!$A$1:$A$49,0),MATCH(orders!L$1,products!$A$1:$G$1,0))</f>
        <v>27.484999999999996</v>
      </c>
      <c r="M6" s="4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hidden="1" x14ac:dyDescent="0.3">
      <c r="A7" s="2" t="s">
        <v>519</v>
      </c>
      <c r="B7" s="7">
        <v>44412</v>
      </c>
      <c r="C7" s="2" t="s">
        <v>520</v>
      </c>
      <c r="D7" t="s">
        <v>6142</v>
      </c>
      <c r="E7" s="2">
        <v>3</v>
      </c>
      <c r="F7" s="2" t="str">
        <f>_xlfn.XLOOKUP(C7,customers!$A$1:$A$1001,customers!$B$1:$B$1001,"",0)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6">
        <f>INDEX(products!$A$1:$G$49,MATCH(orders!$D7,products!$A$1:$A$49,0),MATCH(orders!K$1,products!$A$1:$G$1,0))</f>
        <v>1</v>
      </c>
      <c r="L7" s="4">
        <f>INDEX(products!$A$1:$G$49,MATCH(orders!$D7,products!$A$1:$A$49,0),MATCH(orders!L$1,products!$A$1:$G$1,0))</f>
        <v>12.95</v>
      </c>
      <c r="M7" s="4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3">
      <c r="A8" s="2" t="s">
        <v>524</v>
      </c>
      <c r="B8" s="7">
        <v>44582</v>
      </c>
      <c r="C8" s="2" t="s">
        <v>525</v>
      </c>
      <c r="D8" t="s">
        <v>6143</v>
      </c>
      <c r="E8" s="2">
        <v>3</v>
      </c>
      <c r="F8" s="2" t="str">
        <f>_xlfn.XLOOKUP(C8,customers!$A$1:$A$1001,customers!$B$1:$B$1001,"",0)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6">
        <f>INDEX(products!$A$1:$G$49,MATCH(orders!$D8,products!$A$1:$A$49,0),MATCH(orders!K$1,products!$A$1:$G$1,0))</f>
        <v>0.5</v>
      </c>
      <c r="L8" s="4">
        <f>INDEX(products!$A$1:$G$49,MATCH(orders!$D8,products!$A$1:$A$49,0),MATCH(orders!L$1,products!$A$1:$G$1,0))</f>
        <v>7.29</v>
      </c>
      <c r="M8" s="4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3">
      <c r="A9" s="2" t="s">
        <v>530</v>
      </c>
      <c r="B9" s="7">
        <v>44701</v>
      </c>
      <c r="C9" s="2" t="s">
        <v>531</v>
      </c>
      <c r="D9" t="s">
        <v>6144</v>
      </c>
      <c r="E9" s="2">
        <v>1</v>
      </c>
      <c r="F9" s="2" t="str">
        <f>_xlfn.XLOOKUP(C9,customers!$A$1:$A$1001,customers!$B$1:$B$1001,"",0)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6">
        <f>INDEX(products!$A$1:$G$49,MATCH(orders!$D9,products!$A$1:$A$49,0),MATCH(orders!K$1,products!$A$1:$G$1,0))</f>
        <v>0.2</v>
      </c>
      <c r="L9" s="4">
        <f>INDEX(products!$A$1:$G$49,MATCH(orders!$D9,products!$A$1:$A$49,0),MATCH(orders!L$1,products!$A$1:$G$1,0))</f>
        <v>4.7549999999999999</v>
      </c>
      <c r="M9" s="4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hidden="1" x14ac:dyDescent="0.3">
      <c r="A10" s="2" t="s">
        <v>535</v>
      </c>
      <c r="B10" s="7">
        <v>43467</v>
      </c>
      <c r="C10" s="2" t="s">
        <v>536</v>
      </c>
      <c r="D10" t="s">
        <v>6145</v>
      </c>
      <c r="E10" s="2">
        <v>3</v>
      </c>
      <c r="F10" s="2" t="str">
        <f>_xlfn.XLOOKUP(C10,customers!$A$1:$A$1001,customers!$B$1:$B$1001,"",0)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6">
        <f>INDEX(products!$A$1:$G$49,MATCH(orders!$D10,products!$A$1:$A$49,0),MATCH(orders!K$1,products!$A$1:$G$1,0))</f>
        <v>0.5</v>
      </c>
      <c r="L10" s="4">
        <f>INDEX(products!$A$1:$G$49,MATCH(orders!$D10,products!$A$1:$A$49,0),MATCH(orders!L$1,products!$A$1:$G$1,0))</f>
        <v>5.97</v>
      </c>
      <c r="M10" s="4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hidden="1" x14ac:dyDescent="0.3">
      <c r="A11" s="2" t="s">
        <v>541</v>
      </c>
      <c r="B11" s="7">
        <v>43713</v>
      </c>
      <c r="C11" s="2" t="s">
        <v>542</v>
      </c>
      <c r="D11" t="s">
        <v>6145</v>
      </c>
      <c r="E11" s="2">
        <v>1</v>
      </c>
      <c r="F11" s="2" t="str">
        <f>_xlfn.XLOOKUP(C11,customers!$A$1:$A$1001,customers!$B$1:$B$1001,"",0)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6">
        <f>INDEX(products!$A$1:$G$49,MATCH(orders!$D11,products!$A$1:$A$49,0),MATCH(orders!K$1,products!$A$1:$G$1,0))</f>
        <v>0.5</v>
      </c>
      <c r="L11" s="4">
        <f>INDEX(products!$A$1:$G$49,MATCH(orders!$D11,products!$A$1:$A$49,0),MATCH(orders!L$1,products!$A$1:$G$1,0))</f>
        <v>5.97</v>
      </c>
      <c r="M11" s="4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hidden="1" x14ac:dyDescent="0.3">
      <c r="A12" s="2" t="s">
        <v>547</v>
      </c>
      <c r="B12" s="7">
        <v>44263</v>
      </c>
      <c r="C12" s="2" t="s">
        <v>548</v>
      </c>
      <c r="D12" t="s">
        <v>6146</v>
      </c>
      <c r="E12" s="2">
        <v>4</v>
      </c>
      <c r="F12" s="2" t="str">
        <f>_xlfn.XLOOKUP(C12,customers!$A$1:$A$1001,customers!$B$1:$B$1001,"",0)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6">
        <f>INDEX(products!$A$1:$G$49,MATCH(orders!$D12,products!$A$1:$A$49,0),MATCH(orders!K$1,products!$A$1:$G$1,0))</f>
        <v>1</v>
      </c>
      <c r="L12" s="4">
        <f>INDEX(products!$A$1:$G$49,MATCH(orders!$D12,products!$A$1:$A$49,0),MATCH(orders!L$1,products!$A$1:$G$1,0))</f>
        <v>9.9499999999999993</v>
      </c>
      <c r="M12" s="4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hidden="1" x14ac:dyDescent="0.3">
      <c r="A13" s="2" t="s">
        <v>553</v>
      </c>
      <c r="B13" s="7">
        <v>44132</v>
      </c>
      <c r="C13" s="2" t="s">
        <v>554</v>
      </c>
      <c r="D13" t="s">
        <v>6147</v>
      </c>
      <c r="E13" s="2">
        <v>5</v>
      </c>
      <c r="F13" s="2" t="str">
        <f>_xlfn.XLOOKUP(C13,customers!$A$1:$A$1001,customers!$B$1:$B$1001,"",0)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6">
        <f>INDEX(products!$A$1:$G$49,MATCH(orders!$D13,products!$A$1:$A$49,0),MATCH(orders!K$1,products!$A$1:$G$1,0))</f>
        <v>2.5</v>
      </c>
      <c r="L13" s="4">
        <f>INDEX(products!$A$1:$G$49,MATCH(orders!$D13,products!$A$1:$A$49,0),MATCH(orders!L$1,products!$A$1:$G$1,0))</f>
        <v>34.154999999999994</v>
      </c>
      <c r="M13" s="4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3">
      <c r="A14" s="2" t="s">
        <v>559</v>
      </c>
      <c r="B14" s="7">
        <v>44744</v>
      </c>
      <c r="C14" s="2" t="s">
        <v>560</v>
      </c>
      <c r="D14" t="s">
        <v>6137</v>
      </c>
      <c r="E14" s="2">
        <v>5</v>
      </c>
      <c r="F14" s="2" t="str">
        <f>_xlfn.XLOOKUP(C14,customers!$A$1:$A$1001,customers!$B$1:$B$1001,"",0)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6">
        <f>INDEX(products!$A$1:$G$49,MATCH(orders!$D14,products!$A$1:$A$49,0),MATCH(orders!K$1,products!$A$1:$G$1,0))</f>
        <v>1</v>
      </c>
      <c r="L14" s="4">
        <f>INDEX(products!$A$1:$G$49,MATCH(orders!$D14,products!$A$1:$A$49,0),MATCH(orders!L$1,products!$A$1:$G$1,0))</f>
        <v>9.9499999999999993</v>
      </c>
      <c r="M14" s="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hidden="1" x14ac:dyDescent="0.3">
      <c r="A15" s="2" t="s">
        <v>565</v>
      </c>
      <c r="B15" s="7">
        <v>43973</v>
      </c>
      <c r="C15" s="2" t="s">
        <v>566</v>
      </c>
      <c r="D15" t="s">
        <v>6148</v>
      </c>
      <c r="E15" s="2">
        <v>2</v>
      </c>
      <c r="F15" s="2" t="str">
        <f>_xlfn.XLOOKUP(C15,customers!$A$1:$A$1001,customers!$B$1:$B$1001,"",0)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6">
        <f>INDEX(products!$A$1:$G$49,MATCH(orders!$D15,products!$A$1:$A$49,0),MATCH(orders!K$1,products!$A$1:$G$1,0))</f>
        <v>2.5</v>
      </c>
      <c r="L15" s="4">
        <f>INDEX(products!$A$1:$G$49,MATCH(orders!$D15,products!$A$1:$A$49,0),MATCH(orders!L$1,products!$A$1:$G$1,0))</f>
        <v>20.584999999999997</v>
      </c>
      <c r="M15" s="4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3">
      <c r="A16" s="2" t="s">
        <v>570</v>
      </c>
      <c r="B16" s="7">
        <v>44656</v>
      </c>
      <c r="C16" s="2" t="s">
        <v>571</v>
      </c>
      <c r="D16" t="s">
        <v>6149</v>
      </c>
      <c r="E16" s="2">
        <v>3</v>
      </c>
      <c r="F16" s="2" t="str">
        <f>_xlfn.XLOOKUP(C16,customers!$A$1:$A$1001,customers!$B$1:$B$1001,"",0)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6">
        <f>INDEX(products!$A$1:$G$49,MATCH(orders!$D16,products!$A$1:$A$49,0),MATCH(orders!K$1,products!$A$1:$G$1,0))</f>
        <v>0.2</v>
      </c>
      <c r="L16" s="4">
        <f>INDEX(products!$A$1:$G$49,MATCH(orders!$D16,products!$A$1:$A$49,0),MATCH(orders!L$1,products!$A$1:$G$1,0))</f>
        <v>3.8849999999999998</v>
      </c>
      <c r="M16" s="4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3">
      <c r="A17" s="2" t="s">
        <v>576</v>
      </c>
      <c r="B17" s="7">
        <v>44719</v>
      </c>
      <c r="C17" s="2" t="s">
        <v>577</v>
      </c>
      <c r="D17" t="s">
        <v>6150</v>
      </c>
      <c r="E17" s="2">
        <v>5</v>
      </c>
      <c r="F17" s="2" t="str">
        <f>_xlfn.XLOOKUP(C17,customers!$A$1:$A$1001,customers!$B$1:$B$1001,"",0)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6">
        <f>INDEX(products!$A$1:$G$49,MATCH(orders!$D17,products!$A$1:$A$49,0),MATCH(orders!K$1,products!$A$1:$G$1,0))</f>
        <v>2.5</v>
      </c>
      <c r="L17" s="4">
        <f>INDEX(products!$A$1:$G$49,MATCH(orders!$D17,products!$A$1:$A$49,0),MATCH(orders!L$1,products!$A$1:$G$1,0))</f>
        <v>22.884999999999998</v>
      </c>
      <c r="M17" s="4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hidden="1" x14ac:dyDescent="0.3">
      <c r="A18" s="2" t="s">
        <v>581</v>
      </c>
      <c r="B18" s="7">
        <v>43544</v>
      </c>
      <c r="C18" s="2" t="s">
        <v>582</v>
      </c>
      <c r="D18" t="s">
        <v>6151</v>
      </c>
      <c r="E18" s="2">
        <v>6</v>
      </c>
      <c r="F18" s="2" t="str">
        <f>_xlfn.XLOOKUP(C18,customers!$A$1:$A$1001,customers!$B$1:$B$1001,"",0)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6">
        <f>INDEX(products!$A$1:$G$49,MATCH(orders!$D18,products!$A$1:$A$49,0),MATCH(orders!K$1,products!$A$1:$G$1,0))</f>
        <v>0.2</v>
      </c>
      <c r="L18" s="4">
        <f>INDEX(products!$A$1:$G$49,MATCH(orders!$D18,products!$A$1:$A$49,0),MATCH(orders!L$1,products!$A$1:$G$1,0))</f>
        <v>3.375</v>
      </c>
      <c r="M18" s="4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hidden="1" x14ac:dyDescent="0.3">
      <c r="A19" s="2" t="s">
        <v>587</v>
      </c>
      <c r="B19" s="7">
        <v>43757</v>
      </c>
      <c r="C19" s="2" t="s">
        <v>588</v>
      </c>
      <c r="D19" t="s">
        <v>6139</v>
      </c>
      <c r="E19" s="2">
        <v>6</v>
      </c>
      <c r="F19" s="2" t="str">
        <f>_xlfn.XLOOKUP(C19,customers!$A$1:$A$1001,customers!$B$1:$B$1001,"",0)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6">
        <f>INDEX(products!$A$1:$G$49,MATCH(orders!$D19,products!$A$1:$A$49,0),MATCH(orders!K$1,products!$A$1:$G$1,0))</f>
        <v>1</v>
      </c>
      <c r="L19" s="4">
        <f>INDEX(products!$A$1:$G$49,MATCH(orders!$D19,products!$A$1:$A$49,0),MATCH(orders!L$1,products!$A$1:$G$1,0))</f>
        <v>12.95</v>
      </c>
      <c r="M19" s="4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hidden="1" x14ac:dyDescent="0.3">
      <c r="A20" s="2" t="s">
        <v>593</v>
      </c>
      <c r="B20" s="7">
        <v>43629</v>
      </c>
      <c r="C20" s="2" t="s">
        <v>594</v>
      </c>
      <c r="D20" t="s">
        <v>6148</v>
      </c>
      <c r="E20" s="2">
        <v>4</v>
      </c>
      <c r="F20" s="2" t="str">
        <f>_xlfn.XLOOKUP(C20,customers!$A$1:$A$1001,customers!$B$1:$B$1001,"",0)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6">
        <f>INDEX(products!$A$1:$G$49,MATCH(orders!$D20,products!$A$1:$A$49,0),MATCH(orders!K$1,products!$A$1:$G$1,0))</f>
        <v>2.5</v>
      </c>
      <c r="L20" s="4">
        <f>INDEX(products!$A$1:$G$49,MATCH(orders!$D20,products!$A$1:$A$49,0),MATCH(orders!L$1,products!$A$1:$G$1,0))</f>
        <v>20.584999999999997</v>
      </c>
      <c r="M20" s="4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hidden="1" x14ac:dyDescent="0.3">
      <c r="A21" s="2" t="s">
        <v>598</v>
      </c>
      <c r="B21" s="7">
        <v>44169</v>
      </c>
      <c r="C21" s="2" t="s">
        <v>599</v>
      </c>
      <c r="D21" t="s">
        <v>6151</v>
      </c>
      <c r="E21" s="2">
        <v>5</v>
      </c>
      <c r="F21" s="2" t="str">
        <f>_xlfn.XLOOKUP(C21,customers!$A$1:$A$1001,customers!$B$1:$B$1001,"",0)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6">
        <f>INDEX(products!$A$1:$G$49,MATCH(orders!$D21,products!$A$1:$A$49,0),MATCH(orders!K$1,products!$A$1:$G$1,0))</f>
        <v>0.2</v>
      </c>
      <c r="L21" s="4">
        <f>INDEX(products!$A$1:$G$49,MATCH(orders!$D21,products!$A$1:$A$49,0),MATCH(orders!L$1,products!$A$1:$G$1,0))</f>
        <v>3.375</v>
      </c>
      <c r="M21" s="4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hidden="1" x14ac:dyDescent="0.3">
      <c r="A22" s="2" t="s">
        <v>598</v>
      </c>
      <c r="B22" s="7">
        <v>44169</v>
      </c>
      <c r="C22" s="2" t="s">
        <v>599</v>
      </c>
      <c r="D22" t="s">
        <v>6152</v>
      </c>
      <c r="E22" s="2">
        <v>4</v>
      </c>
      <c r="F22" s="2" t="str">
        <f>_xlfn.XLOOKUP(C22,customers!$A$1:$A$1001,customers!$B$1:$B$1001,"",0)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6">
        <f>INDEX(products!$A$1:$G$49,MATCH(orders!$D22,products!$A$1:$A$49,0),MATCH(orders!K$1,products!$A$1:$G$1,0))</f>
        <v>0.2</v>
      </c>
      <c r="L22" s="4">
        <f>INDEX(products!$A$1:$G$49,MATCH(orders!$D22,products!$A$1:$A$49,0),MATCH(orders!L$1,products!$A$1:$G$1,0))</f>
        <v>3.645</v>
      </c>
      <c r="M22" s="4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hidden="1" x14ac:dyDescent="0.3">
      <c r="A23" s="2" t="s">
        <v>608</v>
      </c>
      <c r="B23" s="7">
        <v>44169</v>
      </c>
      <c r="C23" s="2" t="s">
        <v>609</v>
      </c>
      <c r="D23" t="s">
        <v>6153</v>
      </c>
      <c r="E23" s="2">
        <v>6</v>
      </c>
      <c r="F23" s="2" t="str">
        <f>_xlfn.XLOOKUP(C23,customers!$A$1:$A$1001,customers!$B$1:$B$1001,"",0)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6">
        <f>INDEX(products!$A$1:$G$49,MATCH(orders!$D23,products!$A$1:$A$49,0),MATCH(orders!K$1,products!$A$1:$G$1,0))</f>
        <v>0.2</v>
      </c>
      <c r="L23" s="4">
        <f>INDEX(products!$A$1:$G$49,MATCH(orders!$D23,products!$A$1:$A$49,0),MATCH(orders!L$1,products!$A$1:$G$1,0))</f>
        <v>2.9849999999999999</v>
      </c>
      <c r="M23" s="4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hidden="1" x14ac:dyDescent="0.3">
      <c r="A24" s="2" t="s">
        <v>614</v>
      </c>
      <c r="B24" s="7">
        <v>44218</v>
      </c>
      <c r="C24" s="2" t="s">
        <v>615</v>
      </c>
      <c r="D24" t="s">
        <v>6150</v>
      </c>
      <c r="E24" s="2">
        <v>4</v>
      </c>
      <c r="F24" s="2" t="str">
        <f>_xlfn.XLOOKUP(C24,customers!$A$1:$A$1001,customers!$B$1:$B$1001,"",0)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6">
        <f>INDEX(products!$A$1:$G$49,MATCH(orders!$D24,products!$A$1:$A$49,0),MATCH(orders!K$1,products!$A$1:$G$1,0))</f>
        <v>2.5</v>
      </c>
      <c r="L24" s="4">
        <f>INDEX(products!$A$1:$G$49,MATCH(orders!$D24,products!$A$1:$A$49,0),MATCH(orders!L$1,products!$A$1:$G$1,0))</f>
        <v>22.884999999999998</v>
      </c>
      <c r="M24" s="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3">
      <c r="A25" s="2" t="s">
        <v>620</v>
      </c>
      <c r="B25" s="7">
        <v>44603</v>
      </c>
      <c r="C25" s="2" t="s">
        <v>621</v>
      </c>
      <c r="D25" t="s">
        <v>6153</v>
      </c>
      <c r="E25" s="2">
        <v>4</v>
      </c>
      <c r="F25" s="2" t="str">
        <f>_xlfn.XLOOKUP(C25,customers!$A$1:$A$1001,customers!$B$1:$B$1001,"",0)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6">
        <f>INDEX(products!$A$1:$G$49,MATCH(orders!$D25,products!$A$1:$A$49,0),MATCH(orders!K$1,products!$A$1:$G$1,0))</f>
        <v>0.2</v>
      </c>
      <c r="L25" s="4">
        <f>INDEX(products!$A$1:$G$49,MATCH(orders!$D25,products!$A$1:$A$49,0),MATCH(orders!L$1,products!$A$1:$G$1,0))</f>
        <v>2.9849999999999999</v>
      </c>
      <c r="M25" s="4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hidden="1" x14ac:dyDescent="0.3">
      <c r="A26" s="2" t="s">
        <v>626</v>
      </c>
      <c r="B26" s="7">
        <v>44454</v>
      </c>
      <c r="C26" s="2" t="s">
        <v>627</v>
      </c>
      <c r="D26" t="s">
        <v>6154</v>
      </c>
      <c r="E26" s="2">
        <v>1</v>
      </c>
      <c r="F26" s="2" t="str">
        <f>_xlfn.XLOOKUP(C26,customers!$A$1:$A$1001,customers!$B$1:$B$1001,"",0)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6">
        <f>INDEX(products!$A$1:$G$49,MATCH(orders!$D26,products!$A$1:$A$49,0),MATCH(orders!K$1,products!$A$1:$G$1,0))</f>
        <v>1</v>
      </c>
      <c r="L26" s="4">
        <f>INDEX(products!$A$1:$G$49,MATCH(orders!$D26,products!$A$1:$A$49,0),MATCH(orders!L$1,products!$A$1:$G$1,0))</f>
        <v>11.25</v>
      </c>
      <c r="M26" s="4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hidden="1" x14ac:dyDescent="0.3">
      <c r="A27" s="2" t="s">
        <v>632</v>
      </c>
      <c r="B27" s="7">
        <v>44128</v>
      </c>
      <c r="C27" s="2" t="s">
        <v>633</v>
      </c>
      <c r="D27" t="s">
        <v>6155</v>
      </c>
      <c r="E27" s="2">
        <v>3</v>
      </c>
      <c r="F27" s="2" t="str">
        <f>_xlfn.XLOOKUP(C27,customers!$A$1:$A$1001,customers!$B$1:$B$1001,"",0)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6">
        <f>INDEX(products!$A$1:$G$49,MATCH(orders!$D27,products!$A$1:$A$49,0),MATCH(orders!K$1,products!$A$1:$G$1,0))</f>
        <v>0.2</v>
      </c>
      <c r="L27" s="4">
        <f>INDEX(products!$A$1:$G$49,MATCH(orders!$D27,products!$A$1:$A$49,0),MATCH(orders!L$1,products!$A$1:$G$1,0))</f>
        <v>4.125</v>
      </c>
      <c r="M27" s="4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hidden="1" x14ac:dyDescent="0.3">
      <c r="A28" s="2" t="s">
        <v>637</v>
      </c>
      <c r="B28" s="7">
        <v>43516</v>
      </c>
      <c r="C28" s="2" t="s">
        <v>638</v>
      </c>
      <c r="D28" t="s">
        <v>6156</v>
      </c>
      <c r="E28" s="2">
        <v>4</v>
      </c>
      <c r="F28" s="2" t="str">
        <f>_xlfn.XLOOKUP(C28,customers!$A$1:$A$1001,customers!$B$1:$B$1001,"",0)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6">
        <f>INDEX(products!$A$1:$G$49,MATCH(orders!$D28,products!$A$1:$A$49,0),MATCH(orders!K$1,products!$A$1:$G$1,0))</f>
        <v>0.5</v>
      </c>
      <c r="L28" s="4">
        <f>INDEX(products!$A$1:$G$49,MATCH(orders!$D28,products!$A$1:$A$49,0),MATCH(orders!L$1,products!$A$1:$G$1,0))</f>
        <v>6.75</v>
      </c>
      <c r="M28" s="4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hidden="1" x14ac:dyDescent="0.3">
      <c r="A29" s="2" t="s">
        <v>643</v>
      </c>
      <c r="B29" s="7">
        <v>43746</v>
      </c>
      <c r="C29" s="2" t="s">
        <v>644</v>
      </c>
      <c r="D29" t="s">
        <v>6151</v>
      </c>
      <c r="E29" s="2">
        <v>5</v>
      </c>
      <c r="F29" s="2" t="str">
        <f>_xlfn.XLOOKUP(C29,customers!$A$1:$A$1001,customers!$B$1:$B$1001,"",0)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6">
        <f>INDEX(products!$A$1:$G$49,MATCH(orders!$D29,products!$A$1:$A$49,0),MATCH(orders!K$1,products!$A$1:$G$1,0))</f>
        <v>0.2</v>
      </c>
      <c r="L29" s="4">
        <f>INDEX(products!$A$1:$G$49,MATCH(orders!$D29,products!$A$1:$A$49,0),MATCH(orders!L$1,products!$A$1:$G$1,0))</f>
        <v>3.375</v>
      </c>
      <c r="M29" s="4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3">
      <c r="A30" s="2" t="s">
        <v>649</v>
      </c>
      <c r="B30" s="7">
        <v>44775</v>
      </c>
      <c r="C30" s="2" t="s">
        <v>650</v>
      </c>
      <c r="D30" t="s">
        <v>6157</v>
      </c>
      <c r="E30" s="2">
        <v>3</v>
      </c>
      <c r="F30" s="2" t="str">
        <f>_xlfn.XLOOKUP(C30,customers!$A$1:$A$1001,customers!$B$1:$B$1001,"",0)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6">
        <f>INDEX(products!$A$1:$G$49,MATCH(orders!$D30,products!$A$1:$A$49,0),MATCH(orders!K$1,products!$A$1:$G$1,0))</f>
        <v>0.5</v>
      </c>
      <c r="L30" s="4">
        <f>INDEX(products!$A$1:$G$49,MATCH(orders!$D30,products!$A$1:$A$49,0),MATCH(orders!L$1,products!$A$1:$G$1,0))</f>
        <v>5.97</v>
      </c>
      <c r="M30" s="4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hidden="1" x14ac:dyDescent="0.3">
      <c r="A31" s="2" t="s">
        <v>655</v>
      </c>
      <c r="B31" s="7">
        <v>43516</v>
      </c>
      <c r="C31" s="2" t="s">
        <v>656</v>
      </c>
      <c r="D31" t="s">
        <v>6146</v>
      </c>
      <c r="E31" s="2">
        <v>4</v>
      </c>
      <c r="F31" s="2" t="str">
        <f>_xlfn.XLOOKUP(C31,customers!$A$1:$A$1001,customers!$B$1:$B$1001,"",0)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6">
        <f>INDEX(products!$A$1:$G$49,MATCH(orders!$D31,products!$A$1:$A$49,0),MATCH(orders!K$1,products!$A$1:$G$1,0))</f>
        <v>1</v>
      </c>
      <c r="L31" s="4">
        <f>INDEX(products!$A$1:$G$49,MATCH(orders!$D31,products!$A$1:$A$49,0),MATCH(orders!L$1,products!$A$1:$G$1,0))</f>
        <v>9.9499999999999993</v>
      </c>
      <c r="M31" s="4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hidden="1" x14ac:dyDescent="0.3">
      <c r="A32" s="2" t="s">
        <v>661</v>
      </c>
      <c r="B32" s="7">
        <v>44464</v>
      </c>
      <c r="C32" s="2" t="s">
        <v>662</v>
      </c>
      <c r="D32" t="s">
        <v>6158</v>
      </c>
      <c r="E32" s="2">
        <v>5</v>
      </c>
      <c r="F32" s="2" t="str">
        <f>_xlfn.XLOOKUP(C32,customers!$A$1:$A$1001,customers!$B$1:$B$1001,"",0)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6">
        <f>INDEX(products!$A$1:$G$49,MATCH(orders!$D32,products!$A$1:$A$49,0),MATCH(orders!K$1,products!$A$1:$G$1,0))</f>
        <v>0.2</v>
      </c>
      <c r="L32" s="4">
        <f>INDEX(products!$A$1:$G$49,MATCH(orders!$D32,products!$A$1:$A$49,0),MATCH(orders!L$1,products!$A$1:$G$1,0))</f>
        <v>4.3650000000000002</v>
      </c>
      <c r="M32" s="4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hidden="1" x14ac:dyDescent="0.3">
      <c r="A33" s="2" t="s">
        <v>661</v>
      </c>
      <c r="B33" s="7">
        <v>44464</v>
      </c>
      <c r="C33" s="2" t="s">
        <v>662</v>
      </c>
      <c r="D33" t="s">
        <v>6157</v>
      </c>
      <c r="E33" s="2">
        <v>6</v>
      </c>
      <c r="F33" s="2" t="str">
        <f>_xlfn.XLOOKUP(C33,customers!$A$1:$A$1001,customers!$B$1:$B$1001,"",0)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6">
        <f>INDEX(products!$A$1:$G$49,MATCH(orders!$D33,products!$A$1:$A$49,0),MATCH(orders!K$1,products!$A$1:$G$1,0))</f>
        <v>0.5</v>
      </c>
      <c r="L33" s="4">
        <f>INDEX(products!$A$1:$G$49,MATCH(orders!$D33,products!$A$1:$A$49,0),MATCH(orders!L$1,products!$A$1:$G$1,0))</f>
        <v>5.97</v>
      </c>
      <c r="M33" s="4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hidden="1" x14ac:dyDescent="0.3">
      <c r="A34" s="2" t="s">
        <v>661</v>
      </c>
      <c r="B34" s="7">
        <v>44464</v>
      </c>
      <c r="C34" s="2" t="s">
        <v>662</v>
      </c>
      <c r="D34" t="s">
        <v>6159</v>
      </c>
      <c r="E34" s="2">
        <v>6</v>
      </c>
      <c r="F34" s="2" t="str">
        <f>_xlfn.XLOOKUP(C34,customers!$A$1:$A$1001,customers!$B$1:$B$1001,"",0)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6">
        <f>INDEX(products!$A$1:$G$49,MATCH(orders!$D34,products!$A$1:$A$49,0),MATCH(orders!K$1,products!$A$1:$G$1,0))</f>
        <v>0.5</v>
      </c>
      <c r="L34" s="4">
        <f>INDEX(products!$A$1:$G$49,MATCH(orders!$D34,products!$A$1:$A$49,0),MATCH(orders!L$1,products!$A$1:$G$1,0))</f>
        <v>8.73</v>
      </c>
      <c r="M34" s="4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hidden="1" x14ac:dyDescent="0.3">
      <c r="A35" s="2" t="s">
        <v>676</v>
      </c>
      <c r="B35" s="7">
        <v>44394</v>
      </c>
      <c r="C35" s="2" t="s">
        <v>677</v>
      </c>
      <c r="D35" t="s">
        <v>6144</v>
      </c>
      <c r="E35" s="2">
        <v>5</v>
      </c>
      <c r="F35" s="2" t="str">
        <f>_xlfn.XLOOKUP(C35,customers!$A$1:$A$1001,customers!$B$1:$B$1001,"",0)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6">
        <f>INDEX(products!$A$1:$G$49,MATCH(orders!$D35,products!$A$1:$A$49,0),MATCH(orders!K$1,products!$A$1:$G$1,0))</f>
        <v>0.2</v>
      </c>
      <c r="L35" s="4">
        <f>INDEX(products!$A$1:$G$49,MATCH(orders!$D35,products!$A$1:$A$49,0),MATCH(orders!L$1,products!$A$1:$G$1,0))</f>
        <v>4.7549999999999999</v>
      </c>
      <c r="M35" s="4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hidden="1" x14ac:dyDescent="0.3">
      <c r="A36" s="2" t="s">
        <v>681</v>
      </c>
      <c r="B36" s="7">
        <v>44011</v>
      </c>
      <c r="C36" s="2" t="s">
        <v>682</v>
      </c>
      <c r="D36" t="s">
        <v>6160</v>
      </c>
      <c r="E36" s="2">
        <v>6</v>
      </c>
      <c r="F36" s="2" t="str">
        <f>_xlfn.XLOOKUP(C36,customers!$A$1:$A$1001,customers!$B$1:$B$1001,"",0)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6">
        <f>INDEX(products!$A$1:$G$49,MATCH(orders!$D36,products!$A$1:$A$49,0),MATCH(orders!K$1,products!$A$1:$G$1,0))</f>
        <v>0.5</v>
      </c>
      <c r="L36" s="4">
        <f>INDEX(products!$A$1:$G$49,MATCH(orders!$D36,products!$A$1:$A$49,0),MATCH(orders!L$1,products!$A$1:$G$1,0))</f>
        <v>9.51</v>
      </c>
      <c r="M36" s="4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hidden="1" x14ac:dyDescent="0.3">
      <c r="A37" s="2" t="s">
        <v>687</v>
      </c>
      <c r="B37" s="7">
        <v>44348</v>
      </c>
      <c r="C37" s="2" t="s">
        <v>688</v>
      </c>
      <c r="D37" t="s">
        <v>6157</v>
      </c>
      <c r="E37" s="2">
        <v>6</v>
      </c>
      <c r="F37" s="2" t="str">
        <f>_xlfn.XLOOKUP(C37,customers!$A$1:$A$1001,customers!$B$1:$B$1001,"",0)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6">
        <f>INDEX(products!$A$1:$G$49,MATCH(orders!$D37,products!$A$1:$A$49,0),MATCH(orders!K$1,products!$A$1:$G$1,0))</f>
        <v>0.5</v>
      </c>
      <c r="L37" s="4">
        <f>INDEX(products!$A$1:$G$49,MATCH(orders!$D37,products!$A$1:$A$49,0),MATCH(orders!L$1,products!$A$1:$G$1,0))</f>
        <v>5.97</v>
      </c>
      <c r="M37" s="4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hidden="1" x14ac:dyDescent="0.3">
      <c r="A38" s="2" t="s">
        <v>693</v>
      </c>
      <c r="B38" s="7">
        <v>44233</v>
      </c>
      <c r="C38" s="2" t="s">
        <v>694</v>
      </c>
      <c r="D38" t="s">
        <v>6158</v>
      </c>
      <c r="E38" s="2">
        <v>2</v>
      </c>
      <c r="F38" s="2" t="str">
        <f>_xlfn.XLOOKUP(C38,customers!$A$1:$A$1001,customers!$B$1:$B$1001,"",0)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6">
        <f>INDEX(products!$A$1:$G$49,MATCH(orders!$D38,products!$A$1:$A$49,0),MATCH(orders!K$1,products!$A$1:$G$1,0))</f>
        <v>0.2</v>
      </c>
      <c r="L38" s="4">
        <f>INDEX(products!$A$1:$G$49,MATCH(orders!$D38,products!$A$1:$A$49,0),MATCH(orders!L$1,products!$A$1:$G$1,0))</f>
        <v>4.3650000000000002</v>
      </c>
      <c r="M38" s="4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hidden="1" x14ac:dyDescent="0.3">
      <c r="A39" s="2" t="s">
        <v>699</v>
      </c>
      <c r="B39" s="7">
        <v>43580</v>
      </c>
      <c r="C39" s="2" t="s">
        <v>700</v>
      </c>
      <c r="D39" t="s">
        <v>6160</v>
      </c>
      <c r="E39" s="2">
        <v>3</v>
      </c>
      <c r="F39" s="2" t="str">
        <f>_xlfn.XLOOKUP(C39,customers!$A$1:$A$1001,customers!$B$1:$B$1001,"",0)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6">
        <f>INDEX(products!$A$1:$G$49,MATCH(orders!$D39,products!$A$1:$A$49,0),MATCH(orders!K$1,products!$A$1:$G$1,0))</f>
        <v>0.5</v>
      </c>
      <c r="L39" s="4">
        <f>INDEX(products!$A$1:$G$49,MATCH(orders!$D39,products!$A$1:$A$49,0),MATCH(orders!L$1,products!$A$1:$G$1,0))</f>
        <v>9.51</v>
      </c>
      <c r="M39" s="4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hidden="1" x14ac:dyDescent="0.3">
      <c r="A40" s="2" t="s">
        <v>705</v>
      </c>
      <c r="B40" s="7">
        <v>43946</v>
      </c>
      <c r="C40" s="2" t="s">
        <v>706</v>
      </c>
      <c r="D40" t="s">
        <v>6150</v>
      </c>
      <c r="E40" s="2">
        <v>5</v>
      </c>
      <c r="F40" s="2" t="str">
        <f>_xlfn.XLOOKUP(C40,customers!$A$1:$A$1001,customers!$B$1:$B$1001,"",0)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6">
        <f>INDEX(products!$A$1:$G$49,MATCH(orders!$D40,products!$A$1:$A$49,0),MATCH(orders!K$1,products!$A$1:$G$1,0))</f>
        <v>2.5</v>
      </c>
      <c r="L40" s="4">
        <f>INDEX(products!$A$1:$G$49,MATCH(orders!$D40,products!$A$1:$A$49,0),MATCH(orders!L$1,products!$A$1:$G$1,0))</f>
        <v>22.884999999999998</v>
      </c>
      <c r="M40" s="4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hidden="1" x14ac:dyDescent="0.3">
      <c r="A41" s="2" t="s">
        <v>711</v>
      </c>
      <c r="B41" s="7">
        <v>44524</v>
      </c>
      <c r="C41" s="2" t="s">
        <v>712</v>
      </c>
      <c r="D41" t="s">
        <v>6137</v>
      </c>
      <c r="E41" s="2">
        <v>6</v>
      </c>
      <c r="F41" s="2" t="str">
        <f>_xlfn.XLOOKUP(C41,customers!$A$1:$A$1001,customers!$B$1:$B$1001,"",0)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6">
        <f>INDEX(products!$A$1:$G$49,MATCH(orders!$D41,products!$A$1:$A$49,0),MATCH(orders!K$1,products!$A$1:$G$1,0))</f>
        <v>1</v>
      </c>
      <c r="L41" s="4">
        <f>INDEX(products!$A$1:$G$49,MATCH(orders!$D41,products!$A$1:$A$49,0),MATCH(orders!L$1,products!$A$1:$G$1,0))</f>
        <v>9.9499999999999993</v>
      </c>
      <c r="M41" s="4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hidden="1" x14ac:dyDescent="0.3">
      <c r="A42" s="2" t="s">
        <v>715</v>
      </c>
      <c r="B42" s="7">
        <v>44305</v>
      </c>
      <c r="C42" s="2" t="s">
        <v>716</v>
      </c>
      <c r="D42" t="s">
        <v>6161</v>
      </c>
      <c r="E42" s="2">
        <v>3</v>
      </c>
      <c r="F42" s="2" t="str">
        <f>_xlfn.XLOOKUP(C42,customers!$A$1:$A$1001,customers!$B$1:$B$1001,"",0)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6">
        <f>INDEX(products!$A$1:$G$49,MATCH(orders!$D42,products!$A$1:$A$49,0),MATCH(orders!K$1,products!$A$1:$G$1,0))</f>
        <v>1</v>
      </c>
      <c r="L42" s="4">
        <f>INDEX(products!$A$1:$G$49,MATCH(orders!$D42,products!$A$1:$A$49,0),MATCH(orders!L$1,products!$A$1:$G$1,0))</f>
        <v>14.55</v>
      </c>
      <c r="M42" s="4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3">
      <c r="A43" s="2" t="s">
        <v>720</v>
      </c>
      <c r="B43" s="7">
        <v>44749</v>
      </c>
      <c r="C43" s="2" t="s">
        <v>721</v>
      </c>
      <c r="D43" t="s">
        <v>6152</v>
      </c>
      <c r="E43" s="2">
        <v>2</v>
      </c>
      <c r="F43" s="2" t="str">
        <f>_xlfn.XLOOKUP(C43,customers!$A$1:$A$1001,customers!$B$1:$B$1001,"",0)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6">
        <f>INDEX(products!$A$1:$G$49,MATCH(orders!$D43,products!$A$1:$A$49,0),MATCH(orders!K$1,products!$A$1:$G$1,0))</f>
        <v>0.2</v>
      </c>
      <c r="L43" s="4">
        <f>INDEX(products!$A$1:$G$49,MATCH(orders!$D43,products!$A$1:$A$49,0),MATCH(orders!L$1,products!$A$1:$G$1,0))</f>
        <v>3.645</v>
      </c>
      <c r="M43" s="4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hidden="1" x14ac:dyDescent="0.3">
      <c r="A44" s="2" t="s">
        <v>726</v>
      </c>
      <c r="B44" s="7">
        <v>43607</v>
      </c>
      <c r="C44" s="2" t="s">
        <v>727</v>
      </c>
      <c r="D44" t="s">
        <v>6162</v>
      </c>
      <c r="E44" s="2">
        <v>3</v>
      </c>
      <c r="F44" s="2" t="str">
        <f>_xlfn.XLOOKUP(C44,customers!$A$1:$A$1001,customers!$B$1:$B$1001,"",0)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6">
        <f>INDEX(products!$A$1:$G$49,MATCH(orders!$D44,products!$A$1:$A$49,0),MATCH(orders!K$1,products!$A$1:$G$1,0))</f>
        <v>0.2</v>
      </c>
      <c r="L44" s="4">
        <f>INDEX(products!$A$1:$G$49,MATCH(orders!$D44,products!$A$1:$A$49,0),MATCH(orders!L$1,products!$A$1:$G$1,0))</f>
        <v>2.6849999999999996</v>
      </c>
      <c r="M44" s="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hidden="1" x14ac:dyDescent="0.3">
      <c r="A45" s="2" t="s">
        <v>733</v>
      </c>
      <c r="B45" s="7">
        <v>44473</v>
      </c>
      <c r="C45" s="2" t="s">
        <v>734</v>
      </c>
      <c r="D45" t="s">
        <v>6163</v>
      </c>
      <c r="E45" s="2">
        <v>2</v>
      </c>
      <c r="F45" s="2" t="str">
        <f>_xlfn.XLOOKUP(C45,customers!$A$1:$A$1001,customers!$B$1:$B$1001,"",0)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6">
        <f>INDEX(products!$A$1:$G$49,MATCH(orders!$D45,products!$A$1:$A$49,0),MATCH(orders!K$1,products!$A$1:$G$1,0))</f>
        <v>2.5</v>
      </c>
      <c r="L45" s="4">
        <f>INDEX(products!$A$1:$G$49,MATCH(orders!$D45,products!$A$1:$A$49,0),MATCH(orders!L$1,products!$A$1:$G$1,0))</f>
        <v>36.454999999999998</v>
      </c>
      <c r="M45" s="4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hidden="1" x14ac:dyDescent="0.3">
      <c r="A46" s="2" t="s">
        <v>738</v>
      </c>
      <c r="B46" s="7">
        <v>43932</v>
      </c>
      <c r="C46" s="2" t="s">
        <v>739</v>
      </c>
      <c r="D46" t="s">
        <v>6138</v>
      </c>
      <c r="E46" s="2">
        <v>2</v>
      </c>
      <c r="F46" s="2" t="str">
        <f>_xlfn.XLOOKUP(C46,customers!$A$1:$A$1001,customers!$B$1:$B$1001,"",0)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6">
        <f>INDEX(products!$A$1:$G$49,MATCH(orders!$D46,products!$A$1:$A$49,0),MATCH(orders!K$1,products!$A$1:$G$1,0))</f>
        <v>0.5</v>
      </c>
      <c r="L46" s="4">
        <f>INDEX(products!$A$1:$G$49,MATCH(orders!$D46,products!$A$1:$A$49,0),MATCH(orders!L$1,products!$A$1:$G$1,0))</f>
        <v>8.25</v>
      </c>
      <c r="M46" s="4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3">
      <c r="A47" s="2" t="s">
        <v>744</v>
      </c>
      <c r="B47" s="7">
        <v>44592</v>
      </c>
      <c r="C47" s="2" t="s">
        <v>745</v>
      </c>
      <c r="D47" t="s">
        <v>6164</v>
      </c>
      <c r="E47" s="2">
        <v>6</v>
      </c>
      <c r="F47" s="2" t="str">
        <f>_xlfn.XLOOKUP(C47,customers!$A$1:$A$1001,customers!$B$1:$B$1001,"",0)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6">
        <f>INDEX(products!$A$1:$G$49,MATCH(orders!$D47,products!$A$1:$A$49,0),MATCH(orders!K$1,products!$A$1:$G$1,0))</f>
        <v>2.5</v>
      </c>
      <c r="L47" s="4">
        <f>INDEX(products!$A$1:$G$49,MATCH(orders!$D47,products!$A$1:$A$49,0),MATCH(orders!L$1,products!$A$1:$G$1,0))</f>
        <v>29.784999999999997</v>
      </c>
      <c r="M47" s="4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hidden="1" x14ac:dyDescent="0.3">
      <c r="A48" s="2" t="s">
        <v>750</v>
      </c>
      <c r="B48" s="7">
        <v>43776</v>
      </c>
      <c r="C48" s="2" t="s">
        <v>751</v>
      </c>
      <c r="D48" t="s">
        <v>6165</v>
      </c>
      <c r="E48" s="2">
        <v>2</v>
      </c>
      <c r="F48" s="2" t="str">
        <f>_xlfn.XLOOKUP(C48,customers!$A$1:$A$1001,customers!$B$1:$B$1001,"",0)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6">
        <f>INDEX(products!$A$1:$G$49,MATCH(orders!$D48,products!$A$1:$A$49,0),MATCH(orders!K$1,products!$A$1:$G$1,0))</f>
        <v>2.5</v>
      </c>
      <c r="L48" s="4">
        <f>INDEX(products!$A$1:$G$49,MATCH(orders!$D48,products!$A$1:$A$49,0),MATCH(orders!L$1,products!$A$1:$G$1,0))</f>
        <v>31.624999999999996</v>
      </c>
      <c r="M48" s="4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hidden="1" x14ac:dyDescent="0.3">
      <c r="A49" s="2" t="s">
        <v>755</v>
      </c>
      <c r="B49" s="7">
        <v>43644</v>
      </c>
      <c r="C49" s="2" t="s">
        <v>756</v>
      </c>
      <c r="D49" t="s">
        <v>6166</v>
      </c>
      <c r="E49" s="2">
        <v>2</v>
      </c>
      <c r="F49" s="2" t="str">
        <f>_xlfn.XLOOKUP(C49,customers!$A$1:$A$1001,customers!$B$1:$B$1001,"",0)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6">
        <f>INDEX(products!$A$1:$G$49,MATCH(orders!$D49,products!$A$1:$A$49,0),MATCH(orders!K$1,products!$A$1:$G$1,0))</f>
        <v>0.2</v>
      </c>
      <c r="L49" s="4">
        <f>INDEX(products!$A$1:$G$49,MATCH(orders!$D49,products!$A$1:$A$49,0),MATCH(orders!L$1,products!$A$1:$G$1,0))</f>
        <v>3.8849999999999998</v>
      </c>
      <c r="M49" s="4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hidden="1" x14ac:dyDescent="0.3">
      <c r="A50" s="2" t="s">
        <v>761</v>
      </c>
      <c r="B50" s="7">
        <v>44085</v>
      </c>
      <c r="C50" s="2" t="s">
        <v>762</v>
      </c>
      <c r="D50" t="s">
        <v>6167</v>
      </c>
      <c r="E50" s="2">
        <v>4</v>
      </c>
      <c r="F50" s="2" t="str">
        <f>_xlfn.XLOOKUP(C50,customers!$A$1:$A$1001,customers!$B$1:$B$1001,"",0)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6">
        <f>INDEX(products!$A$1:$G$49,MATCH(orders!$D50,products!$A$1:$A$49,0),MATCH(orders!K$1,products!$A$1:$G$1,0))</f>
        <v>2.5</v>
      </c>
      <c r="L50" s="4">
        <f>INDEX(products!$A$1:$G$49,MATCH(orders!$D50,products!$A$1:$A$49,0),MATCH(orders!L$1,products!$A$1:$G$1,0))</f>
        <v>22.884999999999998</v>
      </c>
      <c r="M50" s="4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3">
      <c r="A51" s="2" t="s">
        <v>766</v>
      </c>
      <c r="B51" s="7">
        <v>44790</v>
      </c>
      <c r="C51" s="2" t="s">
        <v>767</v>
      </c>
      <c r="D51" t="s">
        <v>6139</v>
      </c>
      <c r="E51" s="2">
        <v>3</v>
      </c>
      <c r="F51" s="2" t="str">
        <f>_xlfn.XLOOKUP(C51,customers!$A$1:$A$1001,customers!$B$1:$B$1001,"",0)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6">
        <f>INDEX(products!$A$1:$G$49,MATCH(orders!$D51,products!$A$1:$A$49,0),MATCH(orders!K$1,products!$A$1:$G$1,0))</f>
        <v>1</v>
      </c>
      <c r="L51" s="4">
        <f>INDEX(products!$A$1:$G$49,MATCH(orders!$D51,products!$A$1:$A$49,0),MATCH(orders!L$1,products!$A$1:$G$1,0))</f>
        <v>12.95</v>
      </c>
      <c r="M51" s="4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3">
      <c r="A52" s="2" t="s">
        <v>772</v>
      </c>
      <c r="B52" s="7">
        <v>44792</v>
      </c>
      <c r="C52" s="2" t="s">
        <v>773</v>
      </c>
      <c r="D52" t="s">
        <v>6168</v>
      </c>
      <c r="E52" s="2">
        <v>2</v>
      </c>
      <c r="F52" s="2" t="str">
        <f>_xlfn.XLOOKUP(C52,customers!$A$1:$A$1001,customers!$B$1:$B$1001,"",0)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6">
        <f>INDEX(products!$A$1:$G$49,MATCH(orders!$D52,products!$A$1:$A$49,0),MATCH(orders!K$1,products!$A$1:$G$1,0))</f>
        <v>0.5</v>
      </c>
      <c r="L52" s="4">
        <f>INDEX(products!$A$1:$G$49,MATCH(orders!$D52,products!$A$1:$A$49,0),MATCH(orders!L$1,products!$A$1:$G$1,0))</f>
        <v>7.77</v>
      </c>
      <c r="M52" s="4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hidden="1" x14ac:dyDescent="0.3">
      <c r="A53" s="2" t="s">
        <v>778</v>
      </c>
      <c r="B53" s="7">
        <v>43600</v>
      </c>
      <c r="C53" s="2" t="s">
        <v>779</v>
      </c>
      <c r="D53" t="s">
        <v>6163</v>
      </c>
      <c r="E53" s="2">
        <v>4</v>
      </c>
      <c r="F53" s="2" t="str">
        <f>_xlfn.XLOOKUP(C53,customers!$A$1:$A$1001,customers!$B$1:$B$1001,"",0)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6">
        <f>INDEX(products!$A$1:$G$49,MATCH(orders!$D53,products!$A$1:$A$49,0),MATCH(orders!K$1,products!$A$1:$G$1,0))</f>
        <v>2.5</v>
      </c>
      <c r="L53" s="4">
        <f>INDEX(products!$A$1:$G$49,MATCH(orders!$D53,products!$A$1:$A$49,0),MATCH(orders!L$1,products!$A$1:$G$1,0))</f>
        <v>36.454999999999998</v>
      </c>
      <c r="M53" s="4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hidden="1" x14ac:dyDescent="0.3">
      <c r="A54" s="2" t="s">
        <v>784</v>
      </c>
      <c r="B54" s="7">
        <v>43719</v>
      </c>
      <c r="C54" s="2" t="s">
        <v>785</v>
      </c>
      <c r="D54" t="s">
        <v>6145</v>
      </c>
      <c r="E54" s="2">
        <v>5</v>
      </c>
      <c r="F54" s="2" t="str">
        <f>_xlfn.XLOOKUP(C54,customers!$A$1:$A$1001,customers!$B$1:$B$1001,"",0)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6">
        <f>INDEX(products!$A$1:$G$49,MATCH(orders!$D54,products!$A$1:$A$49,0),MATCH(orders!K$1,products!$A$1:$G$1,0))</f>
        <v>0.5</v>
      </c>
      <c r="L54" s="4">
        <f>INDEX(products!$A$1:$G$49,MATCH(orders!$D54,products!$A$1:$A$49,0),MATCH(orders!L$1,products!$A$1:$G$1,0))</f>
        <v>5.97</v>
      </c>
      <c r="M54" s="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hidden="1" x14ac:dyDescent="0.3">
      <c r="A55" s="2" t="s">
        <v>784</v>
      </c>
      <c r="B55" s="7">
        <v>43719</v>
      </c>
      <c r="C55" s="2" t="s">
        <v>785</v>
      </c>
      <c r="D55" t="s">
        <v>6163</v>
      </c>
      <c r="E55" s="2">
        <v>2</v>
      </c>
      <c r="F55" s="2" t="str">
        <f>_xlfn.XLOOKUP(C55,customers!$A$1:$A$1001,customers!$B$1:$B$1001,"",0)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6">
        <f>INDEX(products!$A$1:$G$49,MATCH(orders!$D55,products!$A$1:$A$49,0),MATCH(orders!K$1,products!$A$1:$G$1,0))</f>
        <v>2.5</v>
      </c>
      <c r="L55" s="4">
        <f>INDEX(products!$A$1:$G$49,MATCH(orders!$D55,products!$A$1:$A$49,0),MATCH(orders!L$1,products!$A$1:$G$1,0))</f>
        <v>36.454999999999998</v>
      </c>
      <c r="M55" s="4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hidden="1" x14ac:dyDescent="0.3">
      <c r="A56" s="2" t="s">
        <v>794</v>
      </c>
      <c r="B56" s="7">
        <v>44271</v>
      </c>
      <c r="C56" s="2" t="s">
        <v>795</v>
      </c>
      <c r="D56" t="s">
        <v>6161</v>
      </c>
      <c r="E56" s="2">
        <v>5</v>
      </c>
      <c r="F56" s="2" t="str">
        <f>_xlfn.XLOOKUP(C56,customers!$A$1:$A$1001,customers!$B$1:$B$1001,"",0)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6">
        <f>INDEX(products!$A$1:$G$49,MATCH(orders!$D56,products!$A$1:$A$49,0),MATCH(orders!K$1,products!$A$1:$G$1,0))</f>
        <v>1</v>
      </c>
      <c r="L56" s="4">
        <f>INDEX(products!$A$1:$G$49,MATCH(orders!$D56,products!$A$1:$A$49,0),MATCH(orders!L$1,products!$A$1:$G$1,0))</f>
        <v>14.55</v>
      </c>
      <c r="M56" s="4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hidden="1" x14ac:dyDescent="0.3">
      <c r="A57" s="2" t="s">
        <v>800</v>
      </c>
      <c r="B57" s="7">
        <v>44168</v>
      </c>
      <c r="C57" s="2" t="s">
        <v>801</v>
      </c>
      <c r="D57" t="s">
        <v>6169</v>
      </c>
      <c r="E57" s="2">
        <v>3</v>
      </c>
      <c r="F57" s="2" t="str">
        <f>_xlfn.XLOOKUP(C57,customers!$A$1:$A$1001,customers!$B$1:$B$1001,"",0)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6">
        <f>INDEX(products!$A$1:$G$49,MATCH(orders!$D57,products!$A$1:$A$49,0),MATCH(orders!K$1,products!$A$1:$G$1,0))</f>
        <v>1</v>
      </c>
      <c r="L57" s="4">
        <f>INDEX(products!$A$1:$G$49,MATCH(orders!$D57,products!$A$1:$A$49,0),MATCH(orders!L$1,products!$A$1:$G$1,0))</f>
        <v>15.85</v>
      </c>
      <c r="M57" s="4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hidden="1" x14ac:dyDescent="0.3">
      <c r="A58" s="2" t="s">
        <v>805</v>
      </c>
      <c r="B58" s="7">
        <v>43857</v>
      </c>
      <c r="C58" s="2" t="s">
        <v>806</v>
      </c>
      <c r="D58" t="s">
        <v>6152</v>
      </c>
      <c r="E58" s="2">
        <v>3</v>
      </c>
      <c r="F58" s="2" t="str">
        <f>_xlfn.XLOOKUP(C58,customers!$A$1:$A$1001,customers!$B$1:$B$1001,"",0)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6">
        <f>INDEX(products!$A$1:$G$49,MATCH(orders!$D58,products!$A$1:$A$49,0),MATCH(orders!K$1,products!$A$1:$G$1,0))</f>
        <v>0.2</v>
      </c>
      <c r="L58" s="4">
        <f>INDEX(products!$A$1:$G$49,MATCH(orders!$D58,products!$A$1:$A$49,0),MATCH(orders!L$1,products!$A$1:$G$1,0))</f>
        <v>3.645</v>
      </c>
      <c r="M58" s="4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3">
      <c r="A59" s="2" t="s">
        <v>811</v>
      </c>
      <c r="B59" s="7">
        <v>44759</v>
      </c>
      <c r="C59" s="2" t="s">
        <v>812</v>
      </c>
      <c r="D59" t="s">
        <v>6170</v>
      </c>
      <c r="E59" s="2">
        <v>4</v>
      </c>
      <c r="F59" s="2" t="str">
        <f>_xlfn.XLOOKUP(C59,customers!$A$1:$A$1001,customers!$B$1:$B$1001,"",0)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6">
        <f>INDEX(products!$A$1:$G$49,MATCH(orders!$D59,products!$A$1:$A$49,0),MATCH(orders!K$1,products!$A$1:$G$1,0))</f>
        <v>1</v>
      </c>
      <c r="L59" s="4">
        <f>INDEX(products!$A$1:$G$49,MATCH(orders!$D59,products!$A$1:$A$49,0),MATCH(orders!L$1,products!$A$1:$G$1,0))</f>
        <v>14.85</v>
      </c>
      <c r="M59" s="4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3">
      <c r="A60" s="2" t="s">
        <v>817</v>
      </c>
      <c r="B60" s="7">
        <v>44624</v>
      </c>
      <c r="C60" s="2" t="s">
        <v>818</v>
      </c>
      <c r="D60" t="s">
        <v>6164</v>
      </c>
      <c r="E60" s="2">
        <v>3</v>
      </c>
      <c r="F60" s="2" t="str">
        <f>_xlfn.XLOOKUP(C60,customers!$A$1:$A$1001,customers!$B$1:$B$1001,"",0)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6">
        <f>INDEX(products!$A$1:$G$49,MATCH(orders!$D60,products!$A$1:$A$49,0),MATCH(orders!K$1,products!$A$1:$G$1,0))</f>
        <v>2.5</v>
      </c>
      <c r="L60" s="4">
        <f>INDEX(products!$A$1:$G$49,MATCH(orders!$D60,products!$A$1:$A$49,0),MATCH(orders!L$1,products!$A$1:$G$1,0))</f>
        <v>29.784999999999997</v>
      </c>
      <c r="M60" s="4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hidden="1" x14ac:dyDescent="0.3">
      <c r="A61" s="2" t="s">
        <v>822</v>
      </c>
      <c r="B61" s="7">
        <v>44537</v>
      </c>
      <c r="C61" s="2" t="s">
        <v>823</v>
      </c>
      <c r="D61" t="s">
        <v>6159</v>
      </c>
      <c r="E61" s="2">
        <v>3</v>
      </c>
      <c r="F61" s="2" t="str">
        <f>_xlfn.XLOOKUP(C61,customers!$A$1:$A$1001,customers!$B$1:$B$1001,"",0)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6">
        <f>INDEX(products!$A$1:$G$49,MATCH(orders!$D61,products!$A$1:$A$49,0),MATCH(orders!K$1,products!$A$1:$G$1,0))</f>
        <v>0.5</v>
      </c>
      <c r="L61" s="4">
        <f>INDEX(products!$A$1:$G$49,MATCH(orders!$D61,products!$A$1:$A$49,0),MATCH(orders!L$1,products!$A$1:$G$1,0))</f>
        <v>8.73</v>
      </c>
      <c r="M61" s="4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hidden="1" x14ac:dyDescent="0.3">
      <c r="A62" s="2" t="s">
        <v>827</v>
      </c>
      <c r="B62" s="7">
        <v>44252</v>
      </c>
      <c r="C62" s="2" t="s">
        <v>828</v>
      </c>
      <c r="D62" t="s">
        <v>6167</v>
      </c>
      <c r="E62" s="2">
        <v>5</v>
      </c>
      <c r="F62" s="2" t="str">
        <f>_xlfn.XLOOKUP(C62,customers!$A$1:$A$1001,customers!$B$1:$B$1001,"",0)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6">
        <f>INDEX(products!$A$1:$G$49,MATCH(orders!$D62,products!$A$1:$A$49,0),MATCH(orders!K$1,products!$A$1:$G$1,0))</f>
        <v>2.5</v>
      </c>
      <c r="L62" s="4">
        <f>INDEX(products!$A$1:$G$49,MATCH(orders!$D62,products!$A$1:$A$49,0),MATCH(orders!L$1,products!$A$1:$G$1,0))</f>
        <v>22.884999999999998</v>
      </c>
      <c r="M62" s="4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hidden="1" x14ac:dyDescent="0.3">
      <c r="A63" s="2" t="s">
        <v>833</v>
      </c>
      <c r="B63" s="7">
        <v>43521</v>
      </c>
      <c r="C63" s="2" t="s">
        <v>834</v>
      </c>
      <c r="D63" t="s">
        <v>6171</v>
      </c>
      <c r="E63" s="2">
        <v>5</v>
      </c>
      <c r="F63" s="2" t="str">
        <f>_xlfn.XLOOKUP(C63,customers!$A$1:$A$1001,customers!$B$1:$B$1001,"",0)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6">
        <f>INDEX(products!$A$1:$G$49,MATCH(orders!$D63,products!$A$1:$A$49,0),MATCH(orders!K$1,products!$A$1:$G$1,0))</f>
        <v>0.5</v>
      </c>
      <c r="L63" s="4">
        <f>INDEX(products!$A$1:$G$49,MATCH(orders!$D63,products!$A$1:$A$49,0),MATCH(orders!L$1,products!$A$1:$G$1,0))</f>
        <v>5.3699999999999992</v>
      </c>
      <c r="M63" s="4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hidden="1" x14ac:dyDescent="0.3">
      <c r="A64" s="2" t="s">
        <v>838</v>
      </c>
      <c r="B64" s="7">
        <v>43505</v>
      </c>
      <c r="C64" s="2" t="s">
        <v>839</v>
      </c>
      <c r="D64" t="s">
        <v>6144</v>
      </c>
      <c r="E64" s="2">
        <v>5</v>
      </c>
      <c r="F64" s="2" t="str">
        <f>_xlfn.XLOOKUP(C64,customers!$A$1:$A$1001,customers!$B$1:$B$1001,"",0)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6">
        <f>INDEX(products!$A$1:$G$49,MATCH(orders!$D64,products!$A$1:$A$49,0),MATCH(orders!K$1,products!$A$1:$G$1,0))</f>
        <v>0.2</v>
      </c>
      <c r="L64" s="4">
        <f>INDEX(products!$A$1:$G$49,MATCH(orders!$D64,products!$A$1:$A$49,0),MATCH(orders!L$1,products!$A$1:$G$1,0))</f>
        <v>4.7549999999999999</v>
      </c>
      <c r="M64" s="4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hidden="1" x14ac:dyDescent="0.3">
      <c r="A65" s="2" t="s">
        <v>843</v>
      </c>
      <c r="B65" s="7">
        <v>43868</v>
      </c>
      <c r="C65" s="2" t="s">
        <v>844</v>
      </c>
      <c r="D65" t="s">
        <v>6156</v>
      </c>
      <c r="E65" s="2">
        <v>1</v>
      </c>
      <c r="F65" s="2" t="str">
        <f>_xlfn.XLOOKUP(C65,customers!$A$1:$A$1001,customers!$B$1:$B$1001,"",0)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6">
        <f>INDEX(products!$A$1:$G$49,MATCH(orders!$D65,products!$A$1:$A$49,0),MATCH(orders!K$1,products!$A$1:$G$1,0))</f>
        <v>0.5</v>
      </c>
      <c r="L65" s="4">
        <f>INDEX(products!$A$1:$G$49,MATCH(orders!$D65,products!$A$1:$A$49,0),MATCH(orders!L$1,products!$A$1:$G$1,0))</f>
        <v>6.75</v>
      </c>
      <c r="M65" s="4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hidden="1" x14ac:dyDescent="0.3">
      <c r="A66" s="2" t="s">
        <v>849</v>
      </c>
      <c r="B66" s="7">
        <v>43913</v>
      </c>
      <c r="C66" s="2" t="s">
        <v>850</v>
      </c>
      <c r="D66" t="s">
        <v>6145</v>
      </c>
      <c r="E66" s="2">
        <v>6</v>
      </c>
      <c r="F66" s="2" t="str">
        <f>_xlfn.XLOOKUP(C66,customers!$A$1:$A$1001,customers!$B$1:$B$1001,"",0)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6">
        <f>INDEX(products!$A$1:$G$49,MATCH(orders!$D66,products!$A$1:$A$49,0),MATCH(orders!K$1,products!$A$1:$G$1,0))</f>
        <v>0.5</v>
      </c>
      <c r="L66" s="4">
        <f>INDEX(products!$A$1:$G$49,MATCH(orders!$D66,products!$A$1:$A$49,0),MATCH(orders!L$1,products!$A$1:$G$1,0))</f>
        <v>5.97</v>
      </c>
      <c r="M66" s="4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3">
      <c r="A67" s="2" t="s">
        <v>854</v>
      </c>
      <c r="B67" s="7">
        <v>44626</v>
      </c>
      <c r="C67" s="2" t="s">
        <v>855</v>
      </c>
      <c r="D67" t="s">
        <v>6148</v>
      </c>
      <c r="E67" s="2">
        <v>4</v>
      </c>
      <c r="F67" s="2" t="str">
        <f>_xlfn.XLOOKUP(C67,customers!$A$1:$A$1001,customers!$B$1:$B$1001,"",0)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6">
        <f>INDEX(products!$A$1:$G$49,MATCH(orders!$D67,products!$A$1:$A$49,0),MATCH(orders!K$1,products!$A$1:$G$1,0))</f>
        <v>2.5</v>
      </c>
      <c r="L67" s="4">
        <f>INDEX(products!$A$1:$G$49,MATCH(orders!$D67,products!$A$1:$A$49,0),MATCH(orders!L$1,products!$A$1:$G$1,0))</f>
        <v>20.584999999999997</v>
      </c>
      <c r="M67" s="4">
        <f t="shared" ref="M67:M130" si="3">E67*L67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3">
      <c r="A68" s="2" t="s">
        <v>860</v>
      </c>
      <c r="B68" s="7">
        <v>44666</v>
      </c>
      <c r="C68" s="2" t="s">
        <v>861</v>
      </c>
      <c r="D68" t="s">
        <v>6172</v>
      </c>
      <c r="E68" s="2">
        <v>1</v>
      </c>
      <c r="F68" s="2" t="str">
        <f>_xlfn.XLOOKUP(C68,customers!$A$1:$A$1001,customers!$B$1:$B$1001,"",0)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6">
        <f>INDEX(products!$A$1:$G$49,MATCH(orders!$D68,products!$A$1:$A$49,0),MATCH(orders!K$1,products!$A$1:$G$1,0))</f>
        <v>0.5</v>
      </c>
      <c r="L68" s="4">
        <f>INDEX(products!$A$1:$G$49,MATCH(orders!$D68,products!$A$1:$A$49,0),MATCH(orders!L$1,products!$A$1:$G$1,0))</f>
        <v>7.169999999999999</v>
      </c>
      <c r="M68" s="4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hidden="1" x14ac:dyDescent="0.3">
      <c r="A69" s="2" t="s">
        <v>866</v>
      </c>
      <c r="B69" s="7">
        <v>44519</v>
      </c>
      <c r="C69" s="2" t="s">
        <v>867</v>
      </c>
      <c r="D69" t="s">
        <v>6144</v>
      </c>
      <c r="E69" s="2">
        <v>2</v>
      </c>
      <c r="F69" s="2" t="str">
        <f>_xlfn.XLOOKUP(C69,customers!$A$1:$A$1001,customers!$B$1:$B$1001,"",0)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6">
        <f>INDEX(products!$A$1:$G$49,MATCH(orders!$D69,products!$A$1:$A$49,0),MATCH(orders!K$1,products!$A$1:$G$1,0))</f>
        <v>0.2</v>
      </c>
      <c r="L69" s="4">
        <f>INDEX(products!$A$1:$G$49,MATCH(orders!$D69,products!$A$1:$A$49,0),MATCH(orders!L$1,products!$A$1:$G$1,0))</f>
        <v>4.7549999999999999</v>
      </c>
      <c r="M69" s="4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hidden="1" x14ac:dyDescent="0.3">
      <c r="A70" s="2" t="s">
        <v>872</v>
      </c>
      <c r="B70" s="7">
        <v>43754</v>
      </c>
      <c r="C70" s="2" t="s">
        <v>873</v>
      </c>
      <c r="D70" t="s">
        <v>6173</v>
      </c>
      <c r="E70" s="2">
        <v>1</v>
      </c>
      <c r="F70" s="2" t="str">
        <f>_xlfn.XLOOKUP(C70,customers!$A$1:$A$1001,customers!$B$1:$B$1001,"",0)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6">
        <f>INDEX(products!$A$1:$G$49,MATCH(orders!$D70,products!$A$1:$A$49,0),MATCH(orders!K$1,products!$A$1:$G$1,0))</f>
        <v>0.2</v>
      </c>
      <c r="L70" s="4">
        <f>INDEX(products!$A$1:$G$49,MATCH(orders!$D70,products!$A$1:$A$49,0),MATCH(orders!L$1,products!$A$1:$G$1,0))</f>
        <v>2.9849999999999999</v>
      </c>
      <c r="M70" s="4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hidden="1" x14ac:dyDescent="0.3">
      <c r="A71" s="2" t="s">
        <v>878</v>
      </c>
      <c r="B71" s="7">
        <v>43795</v>
      </c>
      <c r="C71" s="2" t="s">
        <v>879</v>
      </c>
      <c r="D71" t="s">
        <v>6137</v>
      </c>
      <c r="E71" s="2">
        <v>6</v>
      </c>
      <c r="F71" s="2" t="str">
        <f>_xlfn.XLOOKUP(C71,customers!$A$1:$A$1001,customers!$B$1:$B$1001,"",0)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6">
        <f>INDEX(products!$A$1:$G$49,MATCH(orders!$D71,products!$A$1:$A$49,0),MATCH(orders!K$1,products!$A$1:$G$1,0))</f>
        <v>1</v>
      </c>
      <c r="L71" s="4">
        <f>INDEX(products!$A$1:$G$49,MATCH(orders!$D71,products!$A$1:$A$49,0),MATCH(orders!L$1,products!$A$1:$G$1,0))</f>
        <v>9.9499999999999993</v>
      </c>
      <c r="M71" s="4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hidden="1" x14ac:dyDescent="0.3">
      <c r="A72" s="2" t="s">
        <v>885</v>
      </c>
      <c r="B72" s="7">
        <v>43646</v>
      </c>
      <c r="C72" s="2" t="s">
        <v>886</v>
      </c>
      <c r="D72" t="s">
        <v>6147</v>
      </c>
      <c r="E72" s="2">
        <v>4</v>
      </c>
      <c r="F72" s="2" t="str">
        <f>_xlfn.XLOOKUP(C72,customers!$A$1:$A$1001,customers!$B$1:$B$1001,"",0)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6">
        <f>INDEX(products!$A$1:$G$49,MATCH(orders!$D72,products!$A$1:$A$49,0),MATCH(orders!K$1,products!$A$1:$G$1,0))</f>
        <v>2.5</v>
      </c>
      <c r="L72" s="4">
        <f>INDEX(products!$A$1:$G$49,MATCH(orders!$D72,products!$A$1:$A$49,0),MATCH(orders!L$1,products!$A$1:$G$1,0))</f>
        <v>34.154999999999994</v>
      </c>
      <c r="M72" s="4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hidden="1" x14ac:dyDescent="0.3">
      <c r="A73" s="2" t="s">
        <v>891</v>
      </c>
      <c r="B73" s="7">
        <v>44200</v>
      </c>
      <c r="C73" s="2" t="s">
        <v>892</v>
      </c>
      <c r="D73" t="s">
        <v>6144</v>
      </c>
      <c r="E73" s="2">
        <v>2</v>
      </c>
      <c r="F73" s="2" t="str">
        <f>_xlfn.XLOOKUP(C73,customers!$A$1:$A$1001,customers!$B$1:$B$1001,"",0)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6">
        <f>INDEX(products!$A$1:$G$49,MATCH(orders!$D73,products!$A$1:$A$49,0),MATCH(orders!K$1,products!$A$1:$G$1,0))</f>
        <v>0.2</v>
      </c>
      <c r="L73" s="4">
        <f>INDEX(products!$A$1:$G$49,MATCH(orders!$D73,products!$A$1:$A$49,0),MATCH(orders!L$1,products!$A$1:$G$1,0))</f>
        <v>4.7549999999999999</v>
      </c>
      <c r="M73" s="4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hidden="1" x14ac:dyDescent="0.3">
      <c r="A74" s="2" t="s">
        <v>897</v>
      </c>
      <c r="B74" s="7">
        <v>44131</v>
      </c>
      <c r="C74" s="2" t="s">
        <v>898</v>
      </c>
      <c r="D74" t="s">
        <v>6174</v>
      </c>
      <c r="E74" s="2">
        <v>3</v>
      </c>
      <c r="F74" s="2" t="str">
        <f>_xlfn.XLOOKUP(C74,customers!$A$1:$A$1001,customers!$B$1:$B$1001,"",0)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6">
        <f>INDEX(products!$A$1:$G$49,MATCH(orders!$D74,products!$A$1:$A$49,0),MATCH(orders!K$1,products!$A$1:$G$1,0))</f>
        <v>2.5</v>
      </c>
      <c r="L74" s="4">
        <f>INDEX(products!$A$1:$G$49,MATCH(orders!$D74,products!$A$1:$A$49,0),MATCH(orders!L$1,products!$A$1:$G$1,0))</f>
        <v>25.874999999999996</v>
      </c>
      <c r="M74" s="4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hidden="1" x14ac:dyDescent="0.3">
      <c r="A75" s="2" t="s">
        <v>902</v>
      </c>
      <c r="B75" s="7">
        <v>44362</v>
      </c>
      <c r="C75" s="2" t="s">
        <v>903</v>
      </c>
      <c r="D75" t="s">
        <v>6158</v>
      </c>
      <c r="E75" s="2">
        <v>5</v>
      </c>
      <c r="F75" s="2" t="str">
        <f>_xlfn.XLOOKUP(C75,customers!$A$1:$A$1001,customers!$B$1:$B$1001,"",0)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6">
        <f>INDEX(products!$A$1:$G$49,MATCH(orders!$D75,products!$A$1:$A$49,0),MATCH(orders!K$1,products!$A$1:$G$1,0))</f>
        <v>0.2</v>
      </c>
      <c r="L75" s="4">
        <f>INDEX(products!$A$1:$G$49,MATCH(orders!$D75,products!$A$1:$A$49,0),MATCH(orders!L$1,products!$A$1:$G$1,0))</f>
        <v>4.3650000000000002</v>
      </c>
      <c r="M75" s="4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hidden="1" x14ac:dyDescent="0.3">
      <c r="A76" s="2" t="s">
        <v>907</v>
      </c>
      <c r="B76" s="7">
        <v>44396</v>
      </c>
      <c r="C76" s="2" t="s">
        <v>908</v>
      </c>
      <c r="D76" t="s">
        <v>6175</v>
      </c>
      <c r="E76" s="2">
        <v>2</v>
      </c>
      <c r="F76" s="2" t="str">
        <f>_xlfn.XLOOKUP(C76,customers!$A$1:$A$1001,customers!$B$1:$B$1001,"",0)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6">
        <f>INDEX(products!$A$1:$G$49,MATCH(orders!$D76,products!$A$1:$A$49,0),MATCH(orders!K$1,products!$A$1:$G$1,0))</f>
        <v>0.5</v>
      </c>
      <c r="L76" s="4">
        <f>INDEX(products!$A$1:$G$49,MATCH(orders!$D76,products!$A$1:$A$49,0),MATCH(orders!L$1,products!$A$1:$G$1,0))</f>
        <v>8.91</v>
      </c>
      <c r="M76" s="4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hidden="1" x14ac:dyDescent="0.3">
      <c r="A77" s="2" t="s">
        <v>913</v>
      </c>
      <c r="B77" s="7">
        <v>44400</v>
      </c>
      <c r="C77" s="2" t="s">
        <v>914</v>
      </c>
      <c r="D77" t="s">
        <v>6176</v>
      </c>
      <c r="E77" s="2">
        <v>6</v>
      </c>
      <c r="F77" s="2" t="str">
        <f>_xlfn.XLOOKUP(C77,customers!$A$1:$A$1001,customers!$B$1:$B$1001,"",0)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6">
        <f>INDEX(products!$A$1:$G$49,MATCH(orders!$D77,products!$A$1:$A$49,0),MATCH(orders!K$1,products!$A$1:$G$1,0))</f>
        <v>1</v>
      </c>
      <c r="L77" s="4">
        <f>INDEX(products!$A$1:$G$49,MATCH(orders!$D77,products!$A$1:$A$49,0),MATCH(orders!L$1,products!$A$1:$G$1,0))</f>
        <v>8.9499999999999993</v>
      </c>
      <c r="M77" s="4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hidden="1" x14ac:dyDescent="0.3">
      <c r="A78" s="2" t="s">
        <v>919</v>
      </c>
      <c r="B78" s="7">
        <v>43855</v>
      </c>
      <c r="C78" s="2" t="s">
        <v>920</v>
      </c>
      <c r="D78" t="s">
        <v>6177</v>
      </c>
      <c r="E78" s="2">
        <v>1</v>
      </c>
      <c r="F78" s="2" t="str">
        <f>_xlfn.XLOOKUP(C78,customers!$A$1:$A$1001,customers!$B$1:$B$1001,"",0)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6">
        <f>INDEX(products!$A$1:$G$49,MATCH(orders!$D78,products!$A$1:$A$49,0),MATCH(orders!K$1,products!$A$1:$G$1,0))</f>
        <v>0.2</v>
      </c>
      <c r="L78" s="4">
        <f>INDEX(products!$A$1:$G$49,MATCH(orders!$D78,products!$A$1:$A$49,0),MATCH(orders!L$1,products!$A$1:$G$1,0))</f>
        <v>3.5849999999999995</v>
      </c>
      <c r="M78" s="4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hidden="1" x14ac:dyDescent="0.3">
      <c r="A79" s="2" t="s">
        <v>924</v>
      </c>
      <c r="B79" s="7">
        <v>43594</v>
      </c>
      <c r="C79" s="2" t="s">
        <v>925</v>
      </c>
      <c r="D79" t="s">
        <v>6152</v>
      </c>
      <c r="E79" s="2">
        <v>2</v>
      </c>
      <c r="F79" s="2" t="str">
        <f>_xlfn.XLOOKUP(C79,customers!$A$1:$A$1001,customers!$B$1:$B$1001,"",0)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6">
        <f>INDEX(products!$A$1:$G$49,MATCH(orders!$D79,products!$A$1:$A$49,0),MATCH(orders!K$1,products!$A$1:$G$1,0))</f>
        <v>0.2</v>
      </c>
      <c r="L79" s="4">
        <f>INDEX(products!$A$1:$G$49,MATCH(orders!$D79,products!$A$1:$A$49,0),MATCH(orders!L$1,products!$A$1:$G$1,0))</f>
        <v>3.645</v>
      </c>
      <c r="M79" s="4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hidden="1" x14ac:dyDescent="0.3">
      <c r="A80" s="2" t="s">
        <v>930</v>
      </c>
      <c r="B80" s="7">
        <v>43920</v>
      </c>
      <c r="C80" s="2" t="s">
        <v>931</v>
      </c>
      <c r="D80" t="s">
        <v>6156</v>
      </c>
      <c r="E80" s="2">
        <v>6</v>
      </c>
      <c r="F80" s="2" t="str">
        <f>_xlfn.XLOOKUP(C80,customers!$A$1:$A$1001,customers!$B$1:$B$1001,"",0)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6">
        <f>INDEX(products!$A$1:$G$49,MATCH(orders!$D80,products!$A$1:$A$49,0),MATCH(orders!K$1,products!$A$1:$G$1,0))</f>
        <v>0.5</v>
      </c>
      <c r="L80" s="4">
        <f>INDEX(products!$A$1:$G$49,MATCH(orders!$D80,products!$A$1:$A$49,0),MATCH(orders!L$1,products!$A$1:$G$1,0))</f>
        <v>6.75</v>
      </c>
      <c r="M80" s="4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3">
      <c r="A81" s="2" t="s">
        <v>936</v>
      </c>
      <c r="B81" s="7">
        <v>44633</v>
      </c>
      <c r="C81" s="2" t="s">
        <v>937</v>
      </c>
      <c r="D81" t="s">
        <v>6178</v>
      </c>
      <c r="E81" s="2">
        <v>4</v>
      </c>
      <c r="F81" s="2" t="str">
        <f>_xlfn.XLOOKUP(C81,customers!$A$1:$A$1001,customers!$B$1:$B$1001,"",0)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6">
        <f>INDEX(products!$A$1:$G$49,MATCH(orders!$D81,products!$A$1:$A$49,0),MATCH(orders!K$1,products!$A$1:$G$1,0))</f>
        <v>1</v>
      </c>
      <c r="L81" s="4">
        <f>INDEX(products!$A$1:$G$49,MATCH(orders!$D81,products!$A$1:$A$49,0),MATCH(orders!L$1,products!$A$1:$G$1,0))</f>
        <v>11.95</v>
      </c>
      <c r="M81" s="4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hidden="1" x14ac:dyDescent="0.3">
      <c r="A82" s="2" t="s">
        <v>942</v>
      </c>
      <c r="B82" s="7">
        <v>43572</v>
      </c>
      <c r="C82" s="2" t="s">
        <v>943</v>
      </c>
      <c r="D82" t="s">
        <v>6179</v>
      </c>
      <c r="E82" s="2">
        <v>5</v>
      </c>
      <c r="F82" s="2" t="str">
        <f>_xlfn.XLOOKUP(C82,customers!$A$1:$A$1001,customers!$B$1:$B$1001,"",0)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6">
        <f>INDEX(products!$A$1:$G$49,MATCH(orders!$D82,products!$A$1:$A$49,0),MATCH(orders!K$1,products!$A$1:$G$1,0))</f>
        <v>0.5</v>
      </c>
      <c r="L82" s="4">
        <f>INDEX(products!$A$1:$G$49,MATCH(orders!$D82,products!$A$1:$A$49,0),MATCH(orders!L$1,products!$A$1:$G$1,0))</f>
        <v>7.77</v>
      </c>
      <c r="M82" s="4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hidden="1" x14ac:dyDescent="0.3">
      <c r="A83" s="2" t="s">
        <v>948</v>
      </c>
      <c r="B83" s="7">
        <v>43763</v>
      </c>
      <c r="C83" s="2" t="s">
        <v>949</v>
      </c>
      <c r="D83" t="s">
        <v>6163</v>
      </c>
      <c r="E83" s="2">
        <v>3</v>
      </c>
      <c r="F83" s="2" t="str">
        <f>_xlfn.XLOOKUP(C83,customers!$A$1:$A$1001,customers!$B$1:$B$1001,"",0)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6">
        <f>INDEX(products!$A$1:$G$49,MATCH(orders!$D83,products!$A$1:$A$49,0),MATCH(orders!K$1,products!$A$1:$G$1,0))</f>
        <v>2.5</v>
      </c>
      <c r="L83" s="4">
        <f>INDEX(products!$A$1:$G$49,MATCH(orders!$D83,products!$A$1:$A$49,0),MATCH(orders!L$1,products!$A$1:$G$1,0))</f>
        <v>36.454999999999998</v>
      </c>
      <c r="M83" s="4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hidden="1" x14ac:dyDescent="0.3">
      <c r="A84" s="2" t="s">
        <v>954</v>
      </c>
      <c r="B84" s="7">
        <v>43721</v>
      </c>
      <c r="C84" s="2" t="s">
        <v>955</v>
      </c>
      <c r="D84" t="s">
        <v>6180</v>
      </c>
      <c r="E84" s="2">
        <v>3</v>
      </c>
      <c r="F84" s="2" t="str">
        <f>_xlfn.XLOOKUP(C84,customers!$A$1:$A$1001,customers!$B$1:$B$1001,"",0)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6">
        <f>INDEX(products!$A$1:$G$49,MATCH(orders!$D84,products!$A$1:$A$49,0),MATCH(orders!K$1,products!$A$1:$G$1,0))</f>
        <v>2.5</v>
      </c>
      <c r="L84" s="4">
        <f>INDEX(products!$A$1:$G$49,MATCH(orders!$D84,products!$A$1:$A$49,0),MATCH(orders!L$1,products!$A$1:$G$1,0))</f>
        <v>33.464999999999996</v>
      </c>
      <c r="M84" s="4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hidden="1" x14ac:dyDescent="0.3">
      <c r="A85" s="2" t="s">
        <v>960</v>
      </c>
      <c r="B85" s="7">
        <v>43933</v>
      </c>
      <c r="C85" s="2" t="s">
        <v>961</v>
      </c>
      <c r="D85" t="s">
        <v>6148</v>
      </c>
      <c r="E85" s="2">
        <v>4</v>
      </c>
      <c r="F85" s="2" t="str">
        <f>_xlfn.XLOOKUP(C85,customers!$A$1:$A$1001,customers!$B$1:$B$1001,"",0)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6">
        <f>INDEX(products!$A$1:$G$49,MATCH(orders!$D85,products!$A$1:$A$49,0),MATCH(orders!K$1,products!$A$1:$G$1,0))</f>
        <v>2.5</v>
      </c>
      <c r="L85" s="4">
        <f>INDEX(products!$A$1:$G$49,MATCH(orders!$D85,products!$A$1:$A$49,0),MATCH(orders!L$1,products!$A$1:$G$1,0))</f>
        <v>20.584999999999997</v>
      </c>
      <c r="M85" s="4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hidden="1" x14ac:dyDescent="0.3">
      <c r="A86" s="2" t="s">
        <v>965</v>
      </c>
      <c r="B86" s="7">
        <v>43783</v>
      </c>
      <c r="C86" s="2" t="s">
        <v>966</v>
      </c>
      <c r="D86" t="s">
        <v>6160</v>
      </c>
      <c r="E86" s="2">
        <v>1</v>
      </c>
      <c r="F86" s="2" t="str">
        <f>_xlfn.XLOOKUP(C86,customers!$A$1:$A$1001,customers!$B$1:$B$1001,"",0)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6">
        <f>INDEX(products!$A$1:$G$49,MATCH(orders!$D86,products!$A$1:$A$49,0),MATCH(orders!K$1,products!$A$1:$G$1,0))</f>
        <v>0.5</v>
      </c>
      <c r="L86" s="4">
        <f>INDEX(products!$A$1:$G$49,MATCH(orders!$D86,products!$A$1:$A$49,0),MATCH(orders!L$1,products!$A$1:$G$1,0))</f>
        <v>9.51</v>
      </c>
      <c r="M86" s="4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hidden="1" x14ac:dyDescent="0.3">
      <c r="A87" s="2" t="s">
        <v>971</v>
      </c>
      <c r="B87" s="7">
        <v>43664</v>
      </c>
      <c r="C87" s="2" t="s">
        <v>972</v>
      </c>
      <c r="D87" t="s">
        <v>6181</v>
      </c>
      <c r="E87" s="2">
        <v>3</v>
      </c>
      <c r="F87" s="2" t="str">
        <f>_xlfn.XLOOKUP(C87,customers!$A$1:$A$1001,customers!$B$1:$B$1001,"",0)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6">
        <f>INDEX(products!$A$1:$G$49,MATCH(orders!$D87,products!$A$1:$A$49,0),MATCH(orders!K$1,products!$A$1:$G$1,0))</f>
        <v>2.5</v>
      </c>
      <c r="L87" s="4">
        <f>INDEX(products!$A$1:$G$49,MATCH(orders!$D87,products!$A$1:$A$49,0),MATCH(orders!L$1,products!$A$1:$G$1,0))</f>
        <v>29.784999999999997</v>
      </c>
      <c r="M87" s="4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hidden="1" x14ac:dyDescent="0.3">
      <c r="A88" s="2" t="s">
        <v>971</v>
      </c>
      <c r="B88" s="7">
        <v>43664</v>
      </c>
      <c r="C88" s="2" t="s">
        <v>972</v>
      </c>
      <c r="D88" t="s">
        <v>6153</v>
      </c>
      <c r="E88" s="2">
        <v>4</v>
      </c>
      <c r="F88" s="2" t="str">
        <f>_xlfn.XLOOKUP(C88,customers!$A$1:$A$1001,customers!$B$1:$B$1001,"",0)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6">
        <f>INDEX(products!$A$1:$G$49,MATCH(orders!$D88,products!$A$1:$A$49,0),MATCH(orders!K$1,products!$A$1:$G$1,0))</f>
        <v>0.2</v>
      </c>
      <c r="L88" s="4">
        <f>INDEX(products!$A$1:$G$49,MATCH(orders!$D88,products!$A$1:$A$49,0),MATCH(orders!L$1,products!$A$1:$G$1,0))</f>
        <v>2.9849999999999999</v>
      </c>
      <c r="M88" s="4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hidden="1" x14ac:dyDescent="0.3">
      <c r="A89" s="2" t="s">
        <v>980</v>
      </c>
      <c r="B89" s="7">
        <v>44289</v>
      </c>
      <c r="C89" s="2" t="s">
        <v>981</v>
      </c>
      <c r="D89" t="s">
        <v>6154</v>
      </c>
      <c r="E89" s="2">
        <v>3</v>
      </c>
      <c r="F89" s="2" t="str">
        <f>_xlfn.XLOOKUP(C89,customers!$A$1:$A$1001,customers!$B$1:$B$1001,"",0)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6">
        <f>INDEX(products!$A$1:$G$49,MATCH(orders!$D89,products!$A$1:$A$49,0),MATCH(orders!K$1,products!$A$1:$G$1,0))</f>
        <v>1</v>
      </c>
      <c r="L89" s="4">
        <f>INDEX(products!$A$1:$G$49,MATCH(orders!$D89,products!$A$1:$A$49,0),MATCH(orders!L$1,products!$A$1:$G$1,0))</f>
        <v>11.25</v>
      </c>
      <c r="M89" s="4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hidden="1" x14ac:dyDescent="0.3">
      <c r="A90" s="2" t="s">
        <v>985</v>
      </c>
      <c r="B90" s="7">
        <v>44284</v>
      </c>
      <c r="C90" s="2" t="s">
        <v>986</v>
      </c>
      <c r="D90" t="s">
        <v>6178</v>
      </c>
      <c r="E90" s="2">
        <v>3</v>
      </c>
      <c r="F90" s="2" t="str">
        <f>_xlfn.XLOOKUP(C90,customers!$A$1:$A$1001,customers!$B$1:$B$1001,"",0)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6">
        <f>INDEX(products!$A$1:$G$49,MATCH(orders!$D90,products!$A$1:$A$49,0),MATCH(orders!K$1,products!$A$1:$G$1,0))</f>
        <v>1</v>
      </c>
      <c r="L90" s="4">
        <f>INDEX(products!$A$1:$G$49,MATCH(orders!$D90,products!$A$1:$A$49,0),MATCH(orders!L$1,products!$A$1:$G$1,0))</f>
        <v>11.95</v>
      </c>
      <c r="M90" s="4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hidden="1" x14ac:dyDescent="0.3">
      <c r="A91" s="2" t="s">
        <v>990</v>
      </c>
      <c r="B91" s="7">
        <v>44545</v>
      </c>
      <c r="C91" s="2" t="s">
        <v>991</v>
      </c>
      <c r="D91" t="s">
        <v>6139</v>
      </c>
      <c r="E91" s="2">
        <v>6</v>
      </c>
      <c r="F91" s="2" t="str">
        <f>_xlfn.XLOOKUP(C91,customers!$A$1:$A$1001,customers!$B$1:$B$1001,"",0)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6">
        <f>INDEX(products!$A$1:$G$49,MATCH(orders!$D91,products!$A$1:$A$49,0),MATCH(orders!K$1,products!$A$1:$G$1,0))</f>
        <v>1</v>
      </c>
      <c r="L91" s="4">
        <f>INDEX(products!$A$1:$G$49,MATCH(orders!$D91,products!$A$1:$A$49,0),MATCH(orders!L$1,products!$A$1:$G$1,0))</f>
        <v>12.95</v>
      </c>
      <c r="M91" s="4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hidden="1" x14ac:dyDescent="0.3">
      <c r="A92" s="2" t="s">
        <v>996</v>
      </c>
      <c r="B92" s="7">
        <v>43971</v>
      </c>
      <c r="C92" s="2" t="s">
        <v>997</v>
      </c>
      <c r="D92" t="s">
        <v>6139</v>
      </c>
      <c r="E92" s="2">
        <v>4</v>
      </c>
      <c r="F92" s="2" t="str">
        <f>_xlfn.XLOOKUP(C92,customers!$A$1:$A$1001,customers!$B$1:$B$1001,"",0)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6">
        <f>INDEX(products!$A$1:$G$49,MATCH(orders!$D92,products!$A$1:$A$49,0),MATCH(orders!K$1,products!$A$1:$G$1,0))</f>
        <v>1</v>
      </c>
      <c r="L92" s="4">
        <f>INDEX(products!$A$1:$G$49,MATCH(orders!$D92,products!$A$1:$A$49,0),MATCH(orders!L$1,products!$A$1:$G$1,0))</f>
        <v>12.95</v>
      </c>
      <c r="M92" s="4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hidden="1" x14ac:dyDescent="0.3">
      <c r="A93" s="2" t="s">
        <v>1001</v>
      </c>
      <c r="B93" s="7">
        <v>44137</v>
      </c>
      <c r="C93" s="2" t="s">
        <v>1002</v>
      </c>
      <c r="D93" t="s">
        <v>6174</v>
      </c>
      <c r="E93" s="2">
        <v>4</v>
      </c>
      <c r="F93" s="2" t="str">
        <f>_xlfn.XLOOKUP(C93,customers!$A$1:$A$1001,customers!$B$1:$B$1001,"",0)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6">
        <f>INDEX(products!$A$1:$G$49,MATCH(orders!$D93,products!$A$1:$A$49,0),MATCH(orders!K$1,products!$A$1:$G$1,0))</f>
        <v>2.5</v>
      </c>
      <c r="L93" s="4">
        <f>INDEX(products!$A$1:$G$49,MATCH(orders!$D93,products!$A$1:$A$49,0),MATCH(orders!L$1,products!$A$1:$G$1,0))</f>
        <v>25.874999999999996</v>
      </c>
      <c r="M93" s="4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hidden="1" x14ac:dyDescent="0.3">
      <c r="A94" s="2" t="s">
        <v>1007</v>
      </c>
      <c r="B94" s="7">
        <v>44037</v>
      </c>
      <c r="C94" s="2" t="s">
        <v>1008</v>
      </c>
      <c r="D94" t="s">
        <v>6170</v>
      </c>
      <c r="E94" s="2">
        <v>3</v>
      </c>
      <c r="F94" s="2" t="str">
        <f>_xlfn.XLOOKUP(C94,customers!$A$1:$A$1001,customers!$B$1:$B$1001,"",0)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6">
        <f>INDEX(products!$A$1:$G$49,MATCH(orders!$D94,products!$A$1:$A$49,0),MATCH(orders!K$1,products!$A$1:$G$1,0))</f>
        <v>1</v>
      </c>
      <c r="L94" s="4">
        <f>INDEX(products!$A$1:$G$49,MATCH(orders!$D94,products!$A$1:$A$49,0),MATCH(orders!L$1,products!$A$1:$G$1,0))</f>
        <v>14.85</v>
      </c>
      <c r="M94" s="4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hidden="1" x14ac:dyDescent="0.3">
      <c r="A95" s="2" t="s">
        <v>1012</v>
      </c>
      <c r="B95" s="7">
        <v>43538</v>
      </c>
      <c r="C95" s="2" t="s">
        <v>1013</v>
      </c>
      <c r="D95" t="s">
        <v>6175</v>
      </c>
      <c r="E95" s="2">
        <v>4</v>
      </c>
      <c r="F95" s="2" t="str">
        <f>_xlfn.XLOOKUP(C95,customers!$A$1:$A$1001,customers!$B$1:$B$1001,"",0)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6">
        <f>INDEX(products!$A$1:$G$49,MATCH(orders!$D95,products!$A$1:$A$49,0),MATCH(orders!K$1,products!$A$1:$G$1,0))</f>
        <v>0.5</v>
      </c>
      <c r="L95" s="4">
        <f>INDEX(products!$A$1:$G$49,MATCH(orders!$D95,products!$A$1:$A$49,0),MATCH(orders!L$1,products!$A$1:$G$1,0))</f>
        <v>8.91</v>
      </c>
      <c r="M95" s="4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hidden="1" x14ac:dyDescent="0.3">
      <c r="A96" s="2" t="s">
        <v>1018</v>
      </c>
      <c r="B96" s="7">
        <v>44014</v>
      </c>
      <c r="C96" s="2" t="s">
        <v>1019</v>
      </c>
      <c r="D96" t="s">
        <v>6153</v>
      </c>
      <c r="E96" s="2">
        <v>6</v>
      </c>
      <c r="F96" s="2" t="str">
        <f>_xlfn.XLOOKUP(C96,customers!$A$1:$A$1001,customers!$B$1:$B$1001,"",0)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6">
        <f>INDEX(products!$A$1:$G$49,MATCH(orders!$D96,products!$A$1:$A$49,0),MATCH(orders!K$1,products!$A$1:$G$1,0))</f>
        <v>0.2</v>
      </c>
      <c r="L96" s="4">
        <f>INDEX(products!$A$1:$G$49,MATCH(orders!$D96,products!$A$1:$A$49,0),MATCH(orders!L$1,products!$A$1:$G$1,0))</f>
        <v>2.9849999999999999</v>
      </c>
      <c r="M96" s="4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hidden="1" x14ac:dyDescent="0.3">
      <c r="A97" s="2" t="s">
        <v>1022</v>
      </c>
      <c r="B97" s="7">
        <v>43816</v>
      </c>
      <c r="C97" s="2" t="s">
        <v>1023</v>
      </c>
      <c r="D97" t="s">
        <v>6174</v>
      </c>
      <c r="E97" s="2">
        <v>6</v>
      </c>
      <c r="F97" s="2" t="str">
        <f>_xlfn.XLOOKUP(C97,customers!$A$1:$A$1001,customers!$B$1:$B$1001,"",0)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6">
        <f>INDEX(products!$A$1:$G$49,MATCH(orders!$D97,products!$A$1:$A$49,0),MATCH(orders!K$1,products!$A$1:$G$1,0))</f>
        <v>2.5</v>
      </c>
      <c r="L97" s="4">
        <f>INDEX(products!$A$1:$G$49,MATCH(orders!$D97,products!$A$1:$A$49,0),MATCH(orders!L$1,products!$A$1:$G$1,0))</f>
        <v>25.874999999999996</v>
      </c>
      <c r="M97" s="4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hidden="1" x14ac:dyDescent="0.3">
      <c r="A98" s="2" t="s">
        <v>1027</v>
      </c>
      <c r="B98" s="7">
        <v>44171</v>
      </c>
      <c r="C98" s="2" t="s">
        <v>1028</v>
      </c>
      <c r="D98" t="s">
        <v>6153</v>
      </c>
      <c r="E98" s="2">
        <v>2</v>
      </c>
      <c r="F98" s="2" t="str">
        <f>_xlfn.XLOOKUP(C98,customers!$A$1:$A$1001,customers!$B$1:$B$1001,"",0)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6">
        <f>INDEX(products!$A$1:$G$49,MATCH(orders!$D98,products!$A$1:$A$49,0),MATCH(orders!K$1,products!$A$1:$G$1,0))</f>
        <v>0.2</v>
      </c>
      <c r="L98" s="4">
        <f>INDEX(products!$A$1:$G$49,MATCH(orders!$D98,products!$A$1:$A$49,0),MATCH(orders!L$1,products!$A$1:$G$1,0))</f>
        <v>2.9849999999999999</v>
      </c>
      <c r="M98" s="4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hidden="1" x14ac:dyDescent="0.3">
      <c r="A99" s="2" t="s">
        <v>1032</v>
      </c>
      <c r="B99" s="7">
        <v>44259</v>
      </c>
      <c r="C99" s="2" t="s">
        <v>1033</v>
      </c>
      <c r="D99" t="s">
        <v>6156</v>
      </c>
      <c r="E99" s="2">
        <v>2</v>
      </c>
      <c r="F99" s="2" t="str">
        <f>_xlfn.XLOOKUP(C99,customers!$A$1:$A$1001,customers!$B$1:$B$1001,"",0)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6">
        <f>INDEX(products!$A$1:$G$49,MATCH(orders!$D99,products!$A$1:$A$49,0),MATCH(orders!K$1,products!$A$1:$G$1,0))</f>
        <v>0.5</v>
      </c>
      <c r="L99" s="4">
        <f>INDEX(products!$A$1:$G$49,MATCH(orders!$D99,products!$A$1:$A$49,0),MATCH(orders!L$1,products!$A$1:$G$1,0))</f>
        <v>6.75</v>
      </c>
      <c r="M99" s="4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hidden="1" x14ac:dyDescent="0.3">
      <c r="A100" s="2" t="s">
        <v>1038</v>
      </c>
      <c r="B100" s="7">
        <v>44394</v>
      </c>
      <c r="C100" s="2" t="s">
        <v>1039</v>
      </c>
      <c r="D100" t="s">
        <v>6153</v>
      </c>
      <c r="E100" s="2">
        <v>1</v>
      </c>
      <c r="F100" s="2" t="str">
        <f>_xlfn.XLOOKUP(C100,customers!$A$1:$A$1001,customers!$B$1:$B$1001,"",0)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6">
        <f>INDEX(products!$A$1:$G$49,MATCH(orders!$D100,products!$A$1:$A$49,0),MATCH(orders!K$1,products!$A$1:$G$1,0))</f>
        <v>0.2</v>
      </c>
      <c r="L100" s="4">
        <f>INDEX(products!$A$1:$G$49,MATCH(orders!$D100,products!$A$1:$A$49,0),MATCH(orders!L$1,products!$A$1:$G$1,0))</f>
        <v>2.9849999999999999</v>
      </c>
      <c r="M100" s="4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hidden="1" x14ac:dyDescent="0.3">
      <c r="A101" s="2" t="s">
        <v>1043</v>
      </c>
      <c r="B101" s="7">
        <v>44139</v>
      </c>
      <c r="C101" s="2" t="s">
        <v>1044</v>
      </c>
      <c r="D101" t="s">
        <v>6158</v>
      </c>
      <c r="E101" s="2">
        <v>3</v>
      </c>
      <c r="F101" s="2" t="str">
        <f>_xlfn.XLOOKUP(C101,customers!$A$1:$A$1001,customers!$B$1:$B$1001,"",0)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6">
        <f>INDEX(products!$A$1:$G$49,MATCH(orders!$D101,products!$A$1:$A$49,0),MATCH(orders!K$1,products!$A$1:$G$1,0))</f>
        <v>0.2</v>
      </c>
      <c r="L101" s="4">
        <f>INDEX(products!$A$1:$G$49,MATCH(orders!$D101,products!$A$1:$A$49,0),MATCH(orders!L$1,products!$A$1:$G$1,0))</f>
        <v>4.3650000000000002</v>
      </c>
      <c r="M101" s="4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hidden="1" x14ac:dyDescent="0.3">
      <c r="A102" s="2" t="s">
        <v>1048</v>
      </c>
      <c r="B102" s="7">
        <v>44291</v>
      </c>
      <c r="C102" s="2" t="s">
        <v>1049</v>
      </c>
      <c r="D102" t="s">
        <v>6166</v>
      </c>
      <c r="E102" s="2">
        <v>2</v>
      </c>
      <c r="F102" s="2" t="str">
        <f>_xlfn.XLOOKUP(C102,customers!$A$1:$A$1001,customers!$B$1:$B$1001,"",0)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6">
        <f>INDEX(products!$A$1:$G$49,MATCH(orders!$D102,products!$A$1:$A$49,0),MATCH(orders!K$1,products!$A$1:$G$1,0))</f>
        <v>0.2</v>
      </c>
      <c r="L102" s="4">
        <f>INDEX(products!$A$1:$G$49,MATCH(orders!$D102,products!$A$1:$A$49,0),MATCH(orders!L$1,products!$A$1:$G$1,0))</f>
        <v>3.8849999999999998</v>
      </c>
      <c r="M102" s="4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hidden="1" x14ac:dyDescent="0.3">
      <c r="A103" s="2" t="s">
        <v>1053</v>
      </c>
      <c r="B103" s="7">
        <v>43891</v>
      </c>
      <c r="C103" s="2" t="s">
        <v>1054</v>
      </c>
      <c r="D103" t="s">
        <v>6164</v>
      </c>
      <c r="E103" s="2">
        <v>5</v>
      </c>
      <c r="F103" s="2" t="str">
        <f>_xlfn.XLOOKUP(C103,customers!$A$1:$A$1001,customers!$B$1:$B$1001,"",0)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6">
        <f>INDEX(products!$A$1:$G$49,MATCH(orders!$D103,products!$A$1:$A$49,0),MATCH(orders!K$1,products!$A$1:$G$1,0))</f>
        <v>2.5</v>
      </c>
      <c r="L103" s="4">
        <f>INDEX(products!$A$1:$G$49,MATCH(orders!$D103,products!$A$1:$A$49,0),MATCH(orders!L$1,products!$A$1:$G$1,0))</f>
        <v>29.784999999999997</v>
      </c>
      <c r="M103" s="4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hidden="1" x14ac:dyDescent="0.3">
      <c r="A104" s="2" t="s">
        <v>1059</v>
      </c>
      <c r="B104" s="7">
        <v>44488</v>
      </c>
      <c r="C104" s="2" t="s">
        <v>1060</v>
      </c>
      <c r="D104" t="s">
        <v>6142</v>
      </c>
      <c r="E104" s="2">
        <v>3</v>
      </c>
      <c r="F104" s="2" t="str">
        <f>_xlfn.XLOOKUP(C104,customers!$A$1:$A$1001,customers!$B$1:$B$1001,"",0)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6">
        <f>INDEX(products!$A$1:$G$49,MATCH(orders!$D104,products!$A$1:$A$49,0),MATCH(orders!K$1,products!$A$1:$G$1,0))</f>
        <v>1</v>
      </c>
      <c r="L104" s="4">
        <f>INDEX(products!$A$1:$G$49,MATCH(orders!$D104,products!$A$1:$A$49,0),MATCH(orders!L$1,products!$A$1:$G$1,0))</f>
        <v>12.95</v>
      </c>
      <c r="M104" s="4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3">
      <c r="A105" s="2" t="s">
        <v>1065</v>
      </c>
      <c r="B105" s="7">
        <v>44750</v>
      </c>
      <c r="C105" s="2" t="s">
        <v>1066</v>
      </c>
      <c r="D105" t="s">
        <v>6173</v>
      </c>
      <c r="E105" s="2">
        <v>4</v>
      </c>
      <c r="F105" s="2" t="str">
        <f>_xlfn.XLOOKUP(C105,customers!$A$1:$A$1001,customers!$B$1:$B$1001,"",0)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6">
        <f>INDEX(products!$A$1:$G$49,MATCH(orders!$D105,products!$A$1:$A$49,0),MATCH(orders!K$1,products!$A$1:$G$1,0))</f>
        <v>0.2</v>
      </c>
      <c r="L105" s="4">
        <f>INDEX(products!$A$1:$G$49,MATCH(orders!$D105,products!$A$1:$A$49,0),MATCH(orders!L$1,products!$A$1:$G$1,0))</f>
        <v>2.9849999999999999</v>
      </c>
      <c r="M105" s="4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hidden="1" x14ac:dyDescent="0.3">
      <c r="A106" s="2" t="s">
        <v>1071</v>
      </c>
      <c r="B106" s="7">
        <v>43694</v>
      </c>
      <c r="C106" s="2" t="s">
        <v>1072</v>
      </c>
      <c r="D106" t="s">
        <v>6161</v>
      </c>
      <c r="E106" s="2">
        <v>6</v>
      </c>
      <c r="F106" s="2" t="str">
        <f>_xlfn.XLOOKUP(C106,customers!$A$1:$A$1001,customers!$B$1:$B$1001,"",0)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6">
        <f>INDEX(products!$A$1:$G$49,MATCH(orders!$D106,products!$A$1:$A$49,0),MATCH(orders!K$1,products!$A$1:$G$1,0))</f>
        <v>1</v>
      </c>
      <c r="L106" s="4">
        <f>INDEX(products!$A$1:$G$49,MATCH(orders!$D106,products!$A$1:$A$49,0),MATCH(orders!L$1,products!$A$1:$G$1,0))</f>
        <v>14.55</v>
      </c>
      <c r="M106" s="4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hidden="1" x14ac:dyDescent="0.3">
      <c r="A107" s="2" t="s">
        <v>1077</v>
      </c>
      <c r="B107" s="7">
        <v>43982</v>
      </c>
      <c r="C107" s="2" t="s">
        <v>1078</v>
      </c>
      <c r="D107" t="s">
        <v>6156</v>
      </c>
      <c r="E107" s="2">
        <v>6</v>
      </c>
      <c r="F107" s="2" t="str">
        <f>_xlfn.XLOOKUP(C107,customers!$A$1:$A$1001,customers!$B$1:$B$1001,"",0)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6">
        <f>INDEX(products!$A$1:$G$49,MATCH(orders!$D107,products!$A$1:$A$49,0),MATCH(orders!K$1,products!$A$1:$G$1,0))</f>
        <v>0.5</v>
      </c>
      <c r="L107" s="4">
        <f>INDEX(products!$A$1:$G$49,MATCH(orders!$D107,products!$A$1:$A$49,0),MATCH(orders!L$1,products!$A$1:$G$1,0))</f>
        <v>6.75</v>
      </c>
      <c r="M107" s="4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hidden="1" x14ac:dyDescent="0.3">
      <c r="A108" s="2" t="s">
        <v>1083</v>
      </c>
      <c r="B108" s="7">
        <v>43956</v>
      </c>
      <c r="C108" s="2" t="s">
        <v>1084</v>
      </c>
      <c r="D108" t="s">
        <v>6182</v>
      </c>
      <c r="E108" s="2">
        <v>2</v>
      </c>
      <c r="F108" s="2" t="str">
        <f>_xlfn.XLOOKUP(C108,customers!$A$1:$A$1001,customers!$B$1:$B$1001,"",0)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6">
        <f>INDEX(products!$A$1:$G$49,MATCH(orders!$D108,products!$A$1:$A$49,0),MATCH(orders!K$1,products!$A$1:$G$1,0))</f>
        <v>1</v>
      </c>
      <c r="L108" s="4">
        <f>INDEX(products!$A$1:$G$49,MATCH(orders!$D108,products!$A$1:$A$49,0),MATCH(orders!L$1,products!$A$1:$G$1,0))</f>
        <v>12.15</v>
      </c>
      <c r="M108" s="4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hidden="1" x14ac:dyDescent="0.3">
      <c r="A109" s="2" t="s">
        <v>1089</v>
      </c>
      <c r="B109" s="7">
        <v>43569</v>
      </c>
      <c r="C109" s="2" t="s">
        <v>1090</v>
      </c>
      <c r="D109" t="s">
        <v>6145</v>
      </c>
      <c r="E109" s="2">
        <v>3</v>
      </c>
      <c r="F109" s="2" t="str">
        <f>_xlfn.XLOOKUP(C109,customers!$A$1:$A$1001,customers!$B$1:$B$1001,"",0)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6">
        <f>INDEX(products!$A$1:$G$49,MATCH(orders!$D109,products!$A$1:$A$49,0),MATCH(orders!K$1,products!$A$1:$G$1,0))</f>
        <v>0.5</v>
      </c>
      <c r="L109" s="4">
        <f>INDEX(products!$A$1:$G$49,MATCH(orders!$D109,products!$A$1:$A$49,0),MATCH(orders!L$1,products!$A$1:$G$1,0))</f>
        <v>5.97</v>
      </c>
      <c r="M109" s="4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hidden="1" x14ac:dyDescent="0.3">
      <c r="A110" s="2" t="s">
        <v>1095</v>
      </c>
      <c r="B110" s="7">
        <v>44041</v>
      </c>
      <c r="C110" s="2" t="s">
        <v>1096</v>
      </c>
      <c r="D110" t="s">
        <v>6156</v>
      </c>
      <c r="E110" s="2">
        <v>4</v>
      </c>
      <c r="F110" s="2" t="str">
        <f>_xlfn.XLOOKUP(C110,customers!$A$1:$A$1001,customers!$B$1:$B$1001,"",0)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6">
        <f>INDEX(products!$A$1:$G$49,MATCH(orders!$D110,products!$A$1:$A$49,0),MATCH(orders!K$1,products!$A$1:$G$1,0))</f>
        <v>0.5</v>
      </c>
      <c r="L110" s="4">
        <f>INDEX(products!$A$1:$G$49,MATCH(orders!$D110,products!$A$1:$A$49,0),MATCH(orders!L$1,products!$A$1:$G$1,0))</f>
        <v>6.75</v>
      </c>
      <c r="M110" s="4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hidden="1" x14ac:dyDescent="0.3">
      <c r="A111" s="2" t="s">
        <v>1100</v>
      </c>
      <c r="B111" s="7">
        <v>43811</v>
      </c>
      <c r="C111" s="2" t="s">
        <v>1101</v>
      </c>
      <c r="D111" t="s">
        <v>6168</v>
      </c>
      <c r="E111" s="2">
        <v>1</v>
      </c>
      <c r="F111" s="2" t="str">
        <f>_xlfn.XLOOKUP(C111,customers!$A$1:$A$1001,customers!$B$1:$B$1001,"",0)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6">
        <f>INDEX(products!$A$1:$G$49,MATCH(orders!$D111,products!$A$1:$A$49,0),MATCH(orders!K$1,products!$A$1:$G$1,0))</f>
        <v>0.5</v>
      </c>
      <c r="L111" s="4">
        <f>INDEX(products!$A$1:$G$49,MATCH(orders!$D111,products!$A$1:$A$49,0),MATCH(orders!L$1,products!$A$1:$G$1,0))</f>
        <v>7.77</v>
      </c>
      <c r="M111" s="4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3">
      <c r="A112" s="2" t="s">
        <v>1106</v>
      </c>
      <c r="B112" s="7">
        <v>44727</v>
      </c>
      <c r="C112" s="2" t="s">
        <v>1107</v>
      </c>
      <c r="D112" t="s">
        <v>6183</v>
      </c>
      <c r="E112" s="2">
        <v>3</v>
      </c>
      <c r="F112" s="2" t="str">
        <f>_xlfn.XLOOKUP(C112,customers!$A$1:$A$1001,customers!$B$1:$B$1001,"",0)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6">
        <f>INDEX(products!$A$1:$G$49,MATCH(orders!$D112,products!$A$1:$A$49,0),MATCH(orders!K$1,products!$A$1:$G$1,0))</f>
        <v>0.2</v>
      </c>
      <c r="L112" s="4">
        <f>INDEX(products!$A$1:$G$49,MATCH(orders!$D112,products!$A$1:$A$49,0),MATCH(orders!L$1,products!$A$1:$G$1,0))</f>
        <v>4.4550000000000001</v>
      </c>
      <c r="M112" s="4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hidden="1" x14ac:dyDescent="0.3">
      <c r="A113" s="2" t="s">
        <v>1112</v>
      </c>
      <c r="B113" s="7">
        <v>43642</v>
      </c>
      <c r="C113" s="2" t="s">
        <v>1113</v>
      </c>
      <c r="D113" t="s">
        <v>6171</v>
      </c>
      <c r="E113" s="2">
        <v>5</v>
      </c>
      <c r="F113" s="2" t="str">
        <f>_xlfn.XLOOKUP(C113,customers!$A$1:$A$1001,customers!$B$1:$B$1001,"",0)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6">
        <f>INDEX(products!$A$1:$G$49,MATCH(orders!$D113,products!$A$1:$A$49,0),MATCH(orders!K$1,products!$A$1:$G$1,0))</f>
        <v>0.5</v>
      </c>
      <c r="L113" s="4">
        <f>INDEX(products!$A$1:$G$49,MATCH(orders!$D113,products!$A$1:$A$49,0),MATCH(orders!L$1,products!$A$1:$G$1,0))</f>
        <v>5.3699999999999992</v>
      </c>
      <c r="M113" s="4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hidden="1" x14ac:dyDescent="0.3">
      <c r="A114" s="2" t="s">
        <v>1117</v>
      </c>
      <c r="B114" s="7">
        <v>44481</v>
      </c>
      <c r="C114" s="2" t="s">
        <v>1118</v>
      </c>
      <c r="D114" t="s">
        <v>6154</v>
      </c>
      <c r="E114" s="2">
        <v>1</v>
      </c>
      <c r="F114" s="2" t="str">
        <f>_xlfn.XLOOKUP(C114,customers!$A$1:$A$1001,customers!$B$1:$B$1001,"",0)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6">
        <f>INDEX(products!$A$1:$G$49,MATCH(orders!$D114,products!$A$1:$A$49,0),MATCH(orders!K$1,products!$A$1:$G$1,0))</f>
        <v>1</v>
      </c>
      <c r="L114" s="4">
        <f>INDEX(products!$A$1:$G$49,MATCH(orders!$D114,products!$A$1:$A$49,0),MATCH(orders!L$1,products!$A$1:$G$1,0))</f>
        <v>11.25</v>
      </c>
      <c r="M114" s="4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hidden="1" x14ac:dyDescent="0.3">
      <c r="A115" s="2" t="s">
        <v>1123</v>
      </c>
      <c r="B115" s="7">
        <v>43556</v>
      </c>
      <c r="C115" s="2" t="s">
        <v>1124</v>
      </c>
      <c r="D115" t="s">
        <v>6161</v>
      </c>
      <c r="E115" s="2">
        <v>1</v>
      </c>
      <c r="F115" s="2" t="str">
        <f>_xlfn.XLOOKUP(C115,customers!$A$1:$A$1001,customers!$B$1:$B$1001,"",0)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6">
        <f>INDEX(products!$A$1:$G$49,MATCH(orders!$D115,products!$A$1:$A$49,0),MATCH(orders!K$1,products!$A$1:$G$1,0))</f>
        <v>1</v>
      </c>
      <c r="L115" s="4">
        <f>INDEX(products!$A$1:$G$49,MATCH(orders!$D115,products!$A$1:$A$49,0),MATCH(orders!L$1,products!$A$1:$G$1,0))</f>
        <v>14.55</v>
      </c>
      <c r="M115" s="4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hidden="1" x14ac:dyDescent="0.3">
      <c r="A116" s="2" t="s">
        <v>1129</v>
      </c>
      <c r="B116" s="7">
        <v>44265</v>
      </c>
      <c r="C116" s="2" t="s">
        <v>1130</v>
      </c>
      <c r="D116" t="s">
        <v>6177</v>
      </c>
      <c r="E116" s="2">
        <v>4</v>
      </c>
      <c r="F116" s="2" t="str">
        <f>_xlfn.XLOOKUP(C116,customers!$A$1:$A$1001,customers!$B$1:$B$1001,"",0)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6">
        <f>INDEX(products!$A$1:$G$49,MATCH(orders!$D116,products!$A$1:$A$49,0),MATCH(orders!K$1,products!$A$1:$G$1,0))</f>
        <v>0.2</v>
      </c>
      <c r="L116" s="4">
        <f>INDEX(products!$A$1:$G$49,MATCH(orders!$D116,products!$A$1:$A$49,0),MATCH(orders!L$1,products!$A$1:$G$1,0))</f>
        <v>3.5849999999999995</v>
      </c>
      <c r="M116" s="4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hidden="1" x14ac:dyDescent="0.3">
      <c r="A117" s="2" t="s">
        <v>1134</v>
      </c>
      <c r="B117" s="7">
        <v>43693</v>
      </c>
      <c r="C117" s="2" t="s">
        <v>1135</v>
      </c>
      <c r="D117" t="s">
        <v>6169</v>
      </c>
      <c r="E117" s="2">
        <v>1</v>
      </c>
      <c r="F117" s="2" t="str">
        <f>_xlfn.XLOOKUP(C117,customers!$A$1:$A$1001,customers!$B$1:$B$1001,"",0)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6">
        <f>INDEX(products!$A$1:$G$49,MATCH(orders!$D117,products!$A$1:$A$49,0),MATCH(orders!K$1,products!$A$1:$G$1,0))</f>
        <v>1</v>
      </c>
      <c r="L117" s="4">
        <f>INDEX(products!$A$1:$G$49,MATCH(orders!$D117,products!$A$1:$A$49,0),MATCH(orders!L$1,products!$A$1:$G$1,0))</f>
        <v>15.85</v>
      </c>
      <c r="M117" s="4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hidden="1" x14ac:dyDescent="0.3">
      <c r="A118" s="2" t="s">
        <v>1140</v>
      </c>
      <c r="B118" s="7">
        <v>44054</v>
      </c>
      <c r="C118" s="2" t="s">
        <v>1141</v>
      </c>
      <c r="D118" t="s">
        <v>6144</v>
      </c>
      <c r="E118" s="2">
        <v>4</v>
      </c>
      <c r="F118" s="2" t="str">
        <f>_xlfn.XLOOKUP(C118,customers!$A$1:$A$1001,customers!$B$1:$B$1001,"",0)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6">
        <f>INDEX(products!$A$1:$G$49,MATCH(orders!$D118,products!$A$1:$A$49,0),MATCH(orders!K$1,products!$A$1:$G$1,0))</f>
        <v>0.2</v>
      </c>
      <c r="L118" s="4">
        <f>INDEX(products!$A$1:$G$49,MATCH(orders!$D118,products!$A$1:$A$49,0),MATCH(orders!L$1,products!$A$1:$G$1,0))</f>
        <v>4.7549999999999999</v>
      </c>
      <c r="M118" s="4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3">
      <c r="A119" s="2" t="s">
        <v>1146</v>
      </c>
      <c r="B119" s="7">
        <v>44656</v>
      </c>
      <c r="C119" s="2" t="s">
        <v>1147</v>
      </c>
      <c r="D119" t="s">
        <v>6160</v>
      </c>
      <c r="E119" s="2">
        <v>4</v>
      </c>
      <c r="F119" s="2" t="str">
        <f>_xlfn.XLOOKUP(C119,customers!$A$1:$A$1001,customers!$B$1:$B$1001,"",0)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6">
        <f>INDEX(products!$A$1:$G$49,MATCH(orders!$D119,products!$A$1:$A$49,0),MATCH(orders!K$1,products!$A$1:$G$1,0))</f>
        <v>0.5</v>
      </c>
      <c r="L119" s="4">
        <f>INDEX(products!$A$1:$G$49,MATCH(orders!$D119,products!$A$1:$A$49,0),MATCH(orders!L$1,products!$A$1:$G$1,0))</f>
        <v>9.51</v>
      </c>
      <c r="M119" s="4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hidden="1" x14ac:dyDescent="0.3">
      <c r="A120" s="2" t="s">
        <v>1152</v>
      </c>
      <c r="B120" s="7">
        <v>43760</v>
      </c>
      <c r="C120" s="2" t="s">
        <v>1153</v>
      </c>
      <c r="D120" t="s">
        <v>6143</v>
      </c>
      <c r="E120" s="2">
        <v>3</v>
      </c>
      <c r="F120" s="2" t="str">
        <f>_xlfn.XLOOKUP(C120,customers!$A$1:$A$1001,customers!$B$1:$B$1001,"",0)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6">
        <f>INDEX(products!$A$1:$G$49,MATCH(orders!$D120,products!$A$1:$A$49,0),MATCH(orders!K$1,products!$A$1:$G$1,0))</f>
        <v>0.5</v>
      </c>
      <c r="L120" s="4">
        <f>INDEX(products!$A$1:$G$49,MATCH(orders!$D120,products!$A$1:$A$49,0),MATCH(orders!L$1,products!$A$1:$G$1,0))</f>
        <v>7.29</v>
      </c>
      <c r="M120" s="4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hidden="1" x14ac:dyDescent="0.3">
      <c r="A121" s="2" t="s">
        <v>1158</v>
      </c>
      <c r="B121" s="7">
        <v>44471</v>
      </c>
      <c r="C121" s="2" t="s">
        <v>1159</v>
      </c>
      <c r="D121" t="s">
        <v>6155</v>
      </c>
      <c r="E121" s="2">
        <v>1</v>
      </c>
      <c r="F121" s="2" t="str">
        <f>_xlfn.XLOOKUP(C121,customers!$A$1:$A$1001,customers!$B$1:$B$1001,"",0)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6">
        <f>INDEX(products!$A$1:$G$49,MATCH(orders!$D121,products!$A$1:$A$49,0),MATCH(orders!K$1,products!$A$1:$G$1,0))</f>
        <v>0.2</v>
      </c>
      <c r="L121" s="4">
        <f>INDEX(products!$A$1:$G$49,MATCH(orders!$D121,products!$A$1:$A$49,0),MATCH(orders!L$1,products!$A$1:$G$1,0))</f>
        <v>4.125</v>
      </c>
      <c r="M121" s="4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hidden="1" x14ac:dyDescent="0.3">
      <c r="A122" s="2" t="s">
        <v>1158</v>
      </c>
      <c r="B122" s="7">
        <v>44471</v>
      </c>
      <c r="C122" s="2" t="s">
        <v>1159</v>
      </c>
      <c r="D122" t="s">
        <v>6166</v>
      </c>
      <c r="E122" s="2">
        <v>1</v>
      </c>
      <c r="F122" s="2" t="str">
        <f>_xlfn.XLOOKUP(C122,customers!$A$1:$A$1001,customers!$B$1:$B$1001,"",0)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6">
        <f>INDEX(products!$A$1:$G$49,MATCH(orders!$D122,products!$A$1:$A$49,0),MATCH(orders!K$1,products!$A$1:$G$1,0))</f>
        <v>0.2</v>
      </c>
      <c r="L122" s="4">
        <f>INDEX(products!$A$1:$G$49,MATCH(orders!$D122,products!$A$1:$A$49,0),MATCH(orders!L$1,products!$A$1:$G$1,0))</f>
        <v>3.8849999999999998</v>
      </c>
      <c r="M122" s="4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hidden="1" x14ac:dyDescent="0.3">
      <c r="A123" s="2" t="s">
        <v>1158</v>
      </c>
      <c r="B123" s="7">
        <v>44471</v>
      </c>
      <c r="C123" s="2" t="s">
        <v>1159</v>
      </c>
      <c r="D123" t="s">
        <v>6140</v>
      </c>
      <c r="E123" s="2">
        <v>5</v>
      </c>
      <c r="F123" s="2" t="str">
        <f>_xlfn.XLOOKUP(C123,customers!$A$1:$A$1001,customers!$B$1:$B$1001,"",0)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6">
        <f>INDEX(products!$A$1:$G$49,MATCH(orders!$D123,products!$A$1:$A$49,0),MATCH(orders!K$1,products!$A$1:$G$1,0))</f>
        <v>1</v>
      </c>
      <c r="L123" s="4">
        <f>INDEX(products!$A$1:$G$49,MATCH(orders!$D123,products!$A$1:$A$49,0),MATCH(orders!L$1,products!$A$1:$G$1,0))</f>
        <v>13.75</v>
      </c>
      <c r="M123" s="4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hidden="1" x14ac:dyDescent="0.3">
      <c r="A124" s="2" t="s">
        <v>1174</v>
      </c>
      <c r="B124" s="7">
        <v>44268</v>
      </c>
      <c r="C124" s="2" t="s">
        <v>1175</v>
      </c>
      <c r="D124" t="s">
        <v>6157</v>
      </c>
      <c r="E124" s="2">
        <v>4</v>
      </c>
      <c r="F124" s="2" t="str">
        <f>_xlfn.XLOOKUP(C124,customers!$A$1:$A$1001,customers!$B$1:$B$1001,"",0)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6">
        <f>INDEX(products!$A$1:$G$49,MATCH(orders!$D124,products!$A$1:$A$49,0),MATCH(orders!K$1,products!$A$1:$G$1,0))</f>
        <v>0.5</v>
      </c>
      <c r="L124" s="4">
        <f>INDEX(products!$A$1:$G$49,MATCH(orders!$D124,products!$A$1:$A$49,0),MATCH(orders!L$1,products!$A$1:$G$1,0))</f>
        <v>5.97</v>
      </c>
      <c r="M124" s="4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3">
      <c r="A125" s="2" t="s">
        <v>1180</v>
      </c>
      <c r="B125" s="7">
        <v>44724</v>
      </c>
      <c r="C125" s="2" t="s">
        <v>1181</v>
      </c>
      <c r="D125" t="s">
        <v>6163</v>
      </c>
      <c r="E125" s="2">
        <v>4</v>
      </c>
      <c r="F125" s="2" t="str">
        <f>_xlfn.XLOOKUP(C125,customers!$A$1:$A$1001,customers!$B$1:$B$1001,"",0)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6">
        <f>INDEX(products!$A$1:$G$49,MATCH(orders!$D125,products!$A$1:$A$49,0),MATCH(orders!K$1,products!$A$1:$G$1,0))</f>
        <v>2.5</v>
      </c>
      <c r="L125" s="4">
        <f>INDEX(products!$A$1:$G$49,MATCH(orders!$D125,products!$A$1:$A$49,0),MATCH(orders!L$1,products!$A$1:$G$1,0))</f>
        <v>36.454999999999998</v>
      </c>
      <c r="M125" s="4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hidden="1" x14ac:dyDescent="0.3">
      <c r="A126" s="2" t="s">
        <v>1186</v>
      </c>
      <c r="B126" s="7">
        <v>43582</v>
      </c>
      <c r="C126" s="2" t="s">
        <v>1187</v>
      </c>
      <c r="D126" t="s">
        <v>6158</v>
      </c>
      <c r="E126" s="2">
        <v>5</v>
      </c>
      <c r="F126" s="2" t="str">
        <f>_xlfn.XLOOKUP(C126,customers!$A$1:$A$1001,customers!$B$1:$B$1001,"",0)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6">
        <f>INDEX(products!$A$1:$G$49,MATCH(orders!$D126,products!$A$1:$A$49,0),MATCH(orders!K$1,products!$A$1:$G$1,0))</f>
        <v>0.2</v>
      </c>
      <c r="L126" s="4">
        <f>INDEX(products!$A$1:$G$49,MATCH(orders!$D126,products!$A$1:$A$49,0),MATCH(orders!L$1,products!$A$1:$G$1,0))</f>
        <v>4.3650000000000002</v>
      </c>
      <c r="M126" s="4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hidden="1" x14ac:dyDescent="0.3">
      <c r="A127" s="2" t="s">
        <v>1192</v>
      </c>
      <c r="B127" s="7">
        <v>43608</v>
      </c>
      <c r="C127" s="2" t="s">
        <v>1193</v>
      </c>
      <c r="D127" t="s">
        <v>6159</v>
      </c>
      <c r="E127" s="2">
        <v>3</v>
      </c>
      <c r="F127" s="2" t="str">
        <f>_xlfn.XLOOKUP(C127,customers!$A$1:$A$1001,customers!$B$1:$B$1001,"",0)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6">
        <f>INDEX(products!$A$1:$G$49,MATCH(orders!$D127,products!$A$1:$A$49,0),MATCH(orders!K$1,products!$A$1:$G$1,0))</f>
        <v>0.5</v>
      </c>
      <c r="L127" s="4">
        <f>INDEX(products!$A$1:$G$49,MATCH(orders!$D127,products!$A$1:$A$49,0),MATCH(orders!L$1,products!$A$1:$G$1,0))</f>
        <v>8.73</v>
      </c>
      <c r="M127" s="4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hidden="1" x14ac:dyDescent="0.3">
      <c r="A128" s="2" t="s">
        <v>1198</v>
      </c>
      <c r="B128" s="7">
        <v>44026</v>
      </c>
      <c r="C128" s="2" t="s">
        <v>1199</v>
      </c>
      <c r="D128" t="s">
        <v>6154</v>
      </c>
      <c r="E128" s="2">
        <v>1</v>
      </c>
      <c r="F128" s="2" t="str">
        <f>_xlfn.XLOOKUP(C128,customers!$A$1:$A$1001,customers!$B$1:$B$1001,"",0)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6">
        <f>INDEX(products!$A$1:$G$49,MATCH(orders!$D128,products!$A$1:$A$49,0),MATCH(orders!K$1,products!$A$1:$G$1,0))</f>
        <v>1</v>
      </c>
      <c r="L128" s="4">
        <f>INDEX(products!$A$1:$G$49,MATCH(orders!$D128,products!$A$1:$A$49,0),MATCH(orders!L$1,products!$A$1:$G$1,0))</f>
        <v>11.25</v>
      </c>
      <c r="M128" s="4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hidden="1" x14ac:dyDescent="0.3">
      <c r="A129" s="2" t="s">
        <v>1204</v>
      </c>
      <c r="B129" s="7">
        <v>44510</v>
      </c>
      <c r="C129" s="2" t="s">
        <v>1205</v>
      </c>
      <c r="D129" t="s">
        <v>6142</v>
      </c>
      <c r="E129" s="2">
        <v>6</v>
      </c>
      <c r="F129" s="2" t="str">
        <f>_xlfn.XLOOKUP(C129,customers!$A$1:$A$1001,customers!$B$1:$B$1001,"",0)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6">
        <f>INDEX(products!$A$1:$G$49,MATCH(orders!$D129,products!$A$1:$A$49,0),MATCH(orders!K$1,products!$A$1:$G$1,0))</f>
        <v>1</v>
      </c>
      <c r="L129" s="4">
        <f>INDEX(products!$A$1:$G$49,MATCH(orders!$D129,products!$A$1:$A$49,0),MATCH(orders!L$1,products!$A$1:$G$1,0))</f>
        <v>12.95</v>
      </c>
      <c r="M129" s="4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hidden="1" x14ac:dyDescent="0.3">
      <c r="A130" s="2" t="s">
        <v>1210</v>
      </c>
      <c r="B130" s="7">
        <v>44439</v>
      </c>
      <c r="C130" s="2" t="s">
        <v>1211</v>
      </c>
      <c r="D130" t="s">
        <v>6156</v>
      </c>
      <c r="E130" s="2">
        <v>1</v>
      </c>
      <c r="F130" s="2" t="str">
        <f>_xlfn.XLOOKUP(C130,customers!$A$1:$A$1001,customers!$B$1:$B$1001,"",0)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6">
        <f>INDEX(products!$A$1:$G$49,MATCH(orders!$D130,products!$A$1:$A$49,0),MATCH(orders!K$1,products!$A$1:$G$1,0))</f>
        <v>0.5</v>
      </c>
      <c r="L130" s="4">
        <f>INDEX(products!$A$1:$G$49,MATCH(orders!$D130,products!$A$1:$A$49,0),MATCH(orders!L$1,products!$A$1:$G$1,0))</f>
        <v>6.75</v>
      </c>
      <c r="M130" s="4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hidden="1" x14ac:dyDescent="0.3">
      <c r="A131" s="2" t="s">
        <v>1216</v>
      </c>
      <c r="B131" s="7">
        <v>43652</v>
      </c>
      <c r="C131" s="2" t="s">
        <v>1217</v>
      </c>
      <c r="D131" t="s">
        <v>6182</v>
      </c>
      <c r="E131" s="2">
        <v>1</v>
      </c>
      <c r="F131" s="2" t="str">
        <f>_xlfn.XLOOKUP(C131,customers!$A$1:$A$1001,customers!$B$1:$B$1001,"",0)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6">
        <f>INDEX(products!$A$1:$G$49,MATCH(orders!$D131,products!$A$1:$A$49,0),MATCH(orders!K$1,products!$A$1:$G$1,0))</f>
        <v>1</v>
      </c>
      <c r="L131" s="4">
        <f>INDEX(products!$A$1:$G$49,MATCH(orders!$D131,products!$A$1:$A$49,0),MATCH(orders!L$1,products!$A$1:$G$1,0))</f>
        <v>12.15</v>
      </c>
      <c r="M131" s="4">
        <f t="shared" ref="M131:M194" si="6">E131*L131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3">
      <c r="A132" s="2" t="s">
        <v>1222</v>
      </c>
      <c r="B132" s="7">
        <v>44624</v>
      </c>
      <c r="C132" s="2" t="s">
        <v>1223</v>
      </c>
      <c r="D132" t="s">
        <v>6181</v>
      </c>
      <c r="E132" s="2">
        <v>5</v>
      </c>
      <c r="F132" s="2" t="str">
        <f>_xlfn.XLOOKUP(C132,customers!$A$1:$A$1001,customers!$B$1:$B$1001,"",0)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6">
        <f>INDEX(products!$A$1:$G$49,MATCH(orders!$D132,products!$A$1:$A$49,0),MATCH(orders!K$1,products!$A$1:$G$1,0))</f>
        <v>2.5</v>
      </c>
      <c r="L132" s="4">
        <f>INDEX(products!$A$1:$G$49,MATCH(orders!$D132,products!$A$1:$A$49,0),MATCH(orders!L$1,products!$A$1:$G$1,0))</f>
        <v>29.784999999999997</v>
      </c>
      <c r="M132" s="4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hidden="1" x14ac:dyDescent="0.3">
      <c r="A133" s="2" t="s">
        <v>1227</v>
      </c>
      <c r="B133" s="7">
        <v>44196</v>
      </c>
      <c r="C133" s="2" t="s">
        <v>1228</v>
      </c>
      <c r="D133" t="s">
        <v>6143</v>
      </c>
      <c r="E133" s="2">
        <v>2</v>
      </c>
      <c r="F133" s="2" t="str">
        <f>_xlfn.XLOOKUP(C133,customers!$A$1:$A$1001,customers!$B$1:$B$1001,"",0)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6">
        <f>INDEX(products!$A$1:$G$49,MATCH(orders!$D133,products!$A$1:$A$49,0),MATCH(orders!K$1,products!$A$1:$G$1,0))</f>
        <v>0.5</v>
      </c>
      <c r="L133" s="4">
        <f>INDEX(products!$A$1:$G$49,MATCH(orders!$D133,products!$A$1:$A$49,0),MATCH(orders!L$1,products!$A$1:$G$1,0))</f>
        <v>7.29</v>
      </c>
      <c r="M133" s="4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hidden="1" x14ac:dyDescent="0.3">
      <c r="A134" s="2" t="s">
        <v>1233</v>
      </c>
      <c r="B134" s="7">
        <v>44043</v>
      </c>
      <c r="C134" s="2" t="s">
        <v>1234</v>
      </c>
      <c r="D134" t="s">
        <v>6181</v>
      </c>
      <c r="E134" s="2">
        <v>5</v>
      </c>
      <c r="F134" s="2" t="str">
        <f>_xlfn.XLOOKUP(C134,customers!$A$1:$A$1001,customers!$B$1:$B$1001,"",0)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6">
        <f>INDEX(products!$A$1:$G$49,MATCH(orders!$D134,products!$A$1:$A$49,0),MATCH(orders!K$1,products!$A$1:$G$1,0))</f>
        <v>2.5</v>
      </c>
      <c r="L134" s="4">
        <f>INDEX(products!$A$1:$G$49,MATCH(orders!$D134,products!$A$1:$A$49,0),MATCH(orders!L$1,products!$A$1:$G$1,0))</f>
        <v>29.784999999999997</v>
      </c>
      <c r="M134" s="4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hidden="1" x14ac:dyDescent="0.3">
      <c r="A135" s="2" t="s">
        <v>1239</v>
      </c>
      <c r="B135" s="7">
        <v>44340</v>
      </c>
      <c r="C135" s="2" t="s">
        <v>1240</v>
      </c>
      <c r="D135" t="s">
        <v>6142</v>
      </c>
      <c r="E135" s="2">
        <v>1</v>
      </c>
      <c r="F135" s="2" t="str">
        <f>_xlfn.XLOOKUP(C135,customers!$A$1:$A$1001,customers!$B$1:$B$1001,"",0)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6">
        <f>INDEX(products!$A$1:$G$49,MATCH(orders!$D135,products!$A$1:$A$49,0),MATCH(orders!K$1,products!$A$1:$G$1,0))</f>
        <v>1</v>
      </c>
      <c r="L135" s="4">
        <f>INDEX(products!$A$1:$G$49,MATCH(orders!$D135,products!$A$1:$A$49,0),MATCH(orders!L$1,products!$A$1:$G$1,0))</f>
        <v>12.95</v>
      </c>
      <c r="M135" s="4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3">
      <c r="A136" s="2" t="s">
        <v>1245</v>
      </c>
      <c r="B136" s="7">
        <v>44758</v>
      </c>
      <c r="C136" s="2" t="s">
        <v>1246</v>
      </c>
      <c r="D136" t="s">
        <v>6165</v>
      </c>
      <c r="E136" s="2">
        <v>3</v>
      </c>
      <c r="F136" s="2" t="str">
        <f>_xlfn.XLOOKUP(C136,customers!$A$1:$A$1001,customers!$B$1:$B$1001,"",0)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6">
        <f>INDEX(products!$A$1:$G$49,MATCH(orders!$D136,products!$A$1:$A$49,0),MATCH(orders!K$1,products!$A$1:$G$1,0))</f>
        <v>2.5</v>
      </c>
      <c r="L136" s="4">
        <f>INDEX(products!$A$1:$G$49,MATCH(orders!$D136,products!$A$1:$A$49,0),MATCH(orders!L$1,products!$A$1:$G$1,0))</f>
        <v>31.624999999999996</v>
      </c>
      <c r="M136" s="4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hidden="1" x14ac:dyDescent="0.3">
      <c r="A137" s="2" t="s">
        <v>1249</v>
      </c>
      <c r="B137" s="7">
        <v>44232</v>
      </c>
      <c r="C137" s="2" t="s">
        <v>976</v>
      </c>
      <c r="D137" t="s">
        <v>6179</v>
      </c>
      <c r="E137" s="2">
        <v>5</v>
      </c>
      <c r="F137" s="2" t="str">
        <f>_xlfn.XLOOKUP(C137,customers!$A$1:$A$1001,customers!$B$1:$B$1001,"",0)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6">
        <f>INDEX(products!$A$1:$G$49,MATCH(orders!$D137,products!$A$1:$A$49,0),MATCH(orders!K$1,products!$A$1:$G$1,0))</f>
        <v>0.5</v>
      </c>
      <c r="L137" s="4">
        <f>INDEX(products!$A$1:$G$49,MATCH(orders!$D137,products!$A$1:$A$49,0),MATCH(orders!L$1,products!$A$1:$G$1,0))</f>
        <v>7.77</v>
      </c>
      <c r="M137" s="4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hidden="1" x14ac:dyDescent="0.3">
      <c r="A138" s="2" t="s">
        <v>1255</v>
      </c>
      <c r="B138" s="7">
        <v>44406</v>
      </c>
      <c r="C138" s="2" t="s">
        <v>1256</v>
      </c>
      <c r="D138" t="s">
        <v>6153</v>
      </c>
      <c r="E138" s="2">
        <v>4</v>
      </c>
      <c r="F138" s="2" t="str">
        <f>_xlfn.XLOOKUP(C138,customers!$A$1:$A$1001,customers!$B$1:$B$1001,"",0)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6">
        <f>INDEX(products!$A$1:$G$49,MATCH(orders!$D138,products!$A$1:$A$49,0),MATCH(orders!K$1,products!$A$1:$G$1,0))</f>
        <v>0.2</v>
      </c>
      <c r="L138" s="4">
        <f>INDEX(products!$A$1:$G$49,MATCH(orders!$D138,products!$A$1:$A$49,0),MATCH(orders!L$1,products!$A$1:$G$1,0))</f>
        <v>2.9849999999999999</v>
      </c>
      <c r="M138" s="4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3">
      <c r="A139" s="2" t="s">
        <v>1261</v>
      </c>
      <c r="B139" s="7">
        <v>44637</v>
      </c>
      <c r="C139" s="2" t="s">
        <v>1262</v>
      </c>
      <c r="D139" t="s">
        <v>6147</v>
      </c>
      <c r="E139" s="2">
        <v>3</v>
      </c>
      <c r="F139" s="2" t="str">
        <f>_xlfn.XLOOKUP(C139,customers!$A$1:$A$1001,customers!$B$1:$B$1001,"",0)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6">
        <f>INDEX(products!$A$1:$G$49,MATCH(orders!$D139,products!$A$1:$A$49,0),MATCH(orders!K$1,products!$A$1:$G$1,0))</f>
        <v>2.5</v>
      </c>
      <c r="L139" s="4">
        <f>INDEX(products!$A$1:$G$49,MATCH(orders!$D139,products!$A$1:$A$49,0),MATCH(orders!L$1,products!$A$1:$G$1,0))</f>
        <v>34.154999999999994</v>
      </c>
      <c r="M139" s="4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hidden="1" x14ac:dyDescent="0.3">
      <c r="A140" s="2" t="s">
        <v>1266</v>
      </c>
      <c r="B140" s="7">
        <v>44238</v>
      </c>
      <c r="C140" s="2" t="s">
        <v>1267</v>
      </c>
      <c r="D140" t="s">
        <v>6182</v>
      </c>
      <c r="E140" s="2">
        <v>4</v>
      </c>
      <c r="F140" s="2" t="str">
        <f>_xlfn.XLOOKUP(C140,customers!$A$1:$A$1001,customers!$B$1:$B$1001,"",0)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6">
        <f>INDEX(products!$A$1:$G$49,MATCH(orders!$D140,products!$A$1:$A$49,0),MATCH(orders!K$1,products!$A$1:$G$1,0))</f>
        <v>1</v>
      </c>
      <c r="L140" s="4">
        <f>INDEX(products!$A$1:$G$49,MATCH(orders!$D140,products!$A$1:$A$49,0),MATCH(orders!L$1,products!$A$1:$G$1,0))</f>
        <v>12.15</v>
      </c>
      <c r="M140" s="4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hidden="1" x14ac:dyDescent="0.3">
      <c r="A141" s="2" t="s">
        <v>1271</v>
      </c>
      <c r="B141" s="7">
        <v>43509</v>
      </c>
      <c r="C141" s="2" t="s">
        <v>1272</v>
      </c>
      <c r="D141" t="s">
        <v>6142</v>
      </c>
      <c r="E141" s="2">
        <v>6</v>
      </c>
      <c r="F141" s="2" t="str">
        <f>_xlfn.XLOOKUP(C141,customers!$A$1:$A$1001,customers!$B$1:$B$1001,"",0)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6">
        <f>INDEX(products!$A$1:$G$49,MATCH(orders!$D141,products!$A$1:$A$49,0),MATCH(orders!K$1,products!$A$1:$G$1,0))</f>
        <v>1</v>
      </c>
      <c r="L141" s="4">
        <f>INDEX(products!$A$1:$G$49,MATCH(orders!$D141,products!$A$1:$A$49,0),MATCH(orders!L$1,products!$A$1:$G$1,0))</f>
        <v>12.95</v>
      </c>
      <c r="M141" s="4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3">
      <c r="A142" s="2" t="s">
        <v>1276</v>
      </c>
      <c r="B142" s="7">
        <v>44694</v>
      </c>
      <c r="C142" s="2" t="s">
        <v>1277</v>
      </c>
      <c r="D142" t="s">
        <v>6164</v>
      </c>
      <c r="E142" s="2">
        <v>1</v>
      </c>
      <c r="F142" s="2" t="str">
        <f>_xlfn.XLOOKUP(C142,customers!$A$1:$A$1001,customers!$B$1:$B$1001,"",0)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6">
        <f>INDEX(products!$A$1:$G$49,MATCH(orders!$D142,products!$A$1:$A$49,0),MATCH(orders!K$1,products!$A$1:$G$1,0))</f>
        <v>2.5</v>
      </c>
      <c r="L142" s="4">
        <f>INDEX(products!$A$1:$G$49,MATCH(orders!$D142,products!$A$1:$A$49,0),MATCH(orders!L$1,products!$A$1:$G$1,0))</f>
        <v>29.784999999999997</v>
      </c>
      <c r="M142" s="4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hidden="1" x14ac:dyDescent="0.3">
      <c r="A143" s="2" t="s">
        <v>1283</v>
      </c>
      <c r="B143" s="7">
        <v>43970</v>
      </c>
      <c r="C143" s="2" t="s">
        <v>1284</v>
      </c>
      <c r="D143" t="s">
        <v>6166</v>
      </c>
      <c r="E143" s="2">
        <v>4</v>
      </c>
      <c r="F143" s="2" t="str">
        <f>_xlfn.XLOOKUP(C143,customers!$A$1:$A$1001,customers!$B$1:$B$1001,"",0)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6">
        <f>INDEX(products!$A$1:$G$49,MATCH(orders!$D143,products!$A$1:$A$49,0),MATCH(orders!K$1,products!$A$1:$G$1,0))</f>
        <v>0.2</v>
      </c>
      <c r="L143" s="4">
        <f>INDEX(products!$A$1:$G$49,MATCH(orders!$D143,products!$A$1:$A$49,0),MATCH(orders!L$1,products!$A$1:$G$1,0))</f>
        <v>3.8849999999999998</v>
      </c>
      <c r="M143" s="4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3">
      <c r="A144" s="2" t="s">
        <v>1289</v>
      </c>
      <c r="B144" s="7">
        <v>44678</v>
      </c>
      <c r="C144" s="2" t="s">
        <v>1290</v>
      </c>
      <c r="D144" t="s">
        <v>6147</v>
      </c>
      <c r="E144" s="2">
        <v>4</v>
      </c>
      <c r="F144" s="2" t="str">
        <f>_xlfn.XLOOKUP(C144,customers!$A$1:$A$1001,customers!$B$1:$B$1001,"",0)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6">
        <f>INDEX(products!$A$1:$G$49,MATCH(orders!$D144,products!$A$1:$A$49,0),MATCH(orders!K$1,products!$A$1:$G$1,0))</f>
        <v>2.5</v>
      </c>
      <c r="L144" s="4">
        <f>INDEX(products!$A$1:$G$49,MATCH(orders!$D144,products!$A$1:$A$49,0),MATCH(orders!L$1,products!$A$1:$G$1,0))</f>
        <v>34.154999999999994</v>
      </c>
      <c r="M144" s="4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hidden="1" x14ac:dyDescent="0.3">
      <c r="A145" s="2" t="s">
        <v>1293</v>
      </c>
      <c r="B145" s="7">
        <v>44083</v>
      </c>
      <c r="C145" s="2" t="s">
        <v>1294</v>
      </c>
      <c r="D145" t="s">
        <v>6159</v>
      </c>
      <c r="E145" s="2">
        <v>2</v>
      </c>
      <c r="F145" s="2" t="str">
        <f>_xlfn.XLOOKUP(C145,customers!$A$1:$A$1001,customers!$B$1:$B$1001,"",0)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6">
        <f>INDEX(products!$A$1:$G$49,MATCH(orders!$D145,products!$A$1:$A$49,0),MATCH(orders!K$1,products!$A$1:$G$1,0))</f>
        <v>0.5</v>
      </c>
      <c r="L145" s="4">
        <f>INDEX(products!$A$1:$G$49,MATCH(orders!$D145,products!$A$1:$A$49,0),MATCH(orders!L$1,products!$A$1:$G$1,0))</f>
        <v>8.73</v>
      </c>
      <c r="M145" s="4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hidden="1" x14ac:dyDescent="0.3">
      <c r="A146" s="2" t="s">
        <v>1299</v>
      </c>
      <c r="B146" s="7">
        <v>44265</v>
      </c>
      <c r="C146" s="2" t="s">
        <v>1300</v>
      </c>
      <c r="D146" t="s">
        <v>6147</v>
      </c>
      <c r="E146" s="2">
        <v>2</v>
      </c>
      <c r="F146" s="2" t="str">
        <f>_xlfn.XLOOKUP(C146,customers!$A$1:$A$1001,customers!$B$1:$B$1001,"",0)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6">
        <f>INDEX(products!$A$1:$G$49,MATCH(orders!$D146,products!$A$1:$A$49,0),MATCH(orders!K$1,products!$A$1:$G$1,0))</f>
        <v>2.5</v>
      </c>
      <c r="L146" s="4">
        <f>INDEX(products!$A$1:$G$49,MATCH(orders!$D146,products!$A$1:$A$49,0),MATCH(orders!L$1,products!$A$1:$G$1,0))</f>
        <v>34.154999999999994</v>
      </c>
      <c r="M146" s="4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hidden="1" x14ac:dyDescent="0.3">
      <c r="A147" s="2" t="s">
        <v>1305</v>
      </c>
      <c r="B147" s="7">
        <v>43562</v>
      </c>
      <c r="C147" s="2" t="s">
        <v>1306</v>
      </c>
      <c r="D147" t="s">
        <v>6158</v>
      </c>
      <c r="E147" s="2">
        <v>4</v>
      </c>
      <c r="F147" s="2" t="str">
        <f>_xlfn.XLOOKUP(C147,customers!$A$1:$A$1001,customers!$B$1:$B$1001,"",0)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6">
        <f>INDEX(products!$A$1:$G$49,MATCH(orders!$D147,products!$A$1:$A$49,0),MATCH(orders!K$1,products!$A$1:$G$1,0))</f>
        <v>0.2</v>
      </c>
      <c r="L147" s="4">
        <f>INDEX(products!$A$1:$G$49,MATCH(orders!$D147,products!$A$1:$A$49,0),MATCH(orders!L$1,products!$A$1:$G$1,0))</f>
        <v>4.3650000000000002</v>
      </c>
      <c r="M147" s="4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hidden="1" x14ac:dyDescent="0.3">
      <c r="A148" s="2" t="s">
        <v>1311</v>
      </c>
      <c r="B148" s="7">
        <v>44024</v>
      </c>
      <c r="C148" s="2" t="s">
        <v>1312</v>
      </c>
      <c r="D148" t="s">
        <v>6161</v>
      </c>
      <c r="E148" s="2">
        <v>3</v>
      </c>
      <c r="F148" s="2" t="str">
        <f>_xlfn.XLOOKUP(C148,customers!$A$1:$A$1001,customers!$B$1:$B$1001,"",0)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6">
        <f>INDEX(products!$A$1:$G$49,MATCH(orders!$D148,products!$A$1:$A$49,0),MATCH(orders!K$1,products!$A$1:$G$1,0))</f>
        <v>1</v>
      </c>
      <c r="L148" s="4">
        <f>INDEX(products!$A$1:$G$49,MATCH(orders!$D148,products!$A$1:$A$49,0),MATCH(orders!L$1,products!$A$1:$G$1,0))</f>
        <v>14.55</v>
      </c>
      <c r="M148" s="4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hidden="1" x14ac:dyDescent="0.3">
      <c r="A149" s="2" t="s">
        <v>1311</v>
      </c>
      <c r="B149" s="7">
        <v>44024</v>
      </c>
      <c r="C149" s="2" t="s">
        <v>1312</v>
      </c>
      <c r="D149" t="s">
        <v>6140</v>
      </c>
      <c r="E149" s="2">
        <v>2</v>
      </c>
      <c r="F149" s="2" t="str">
        <f>_xlfn.XLOOKUP(C149,customers!$A$1:$A$1001,customers!$B$1:$B$1001,"",0)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6">
        <f>INDEX(products!$A$1:$G$49,MATCH(orders!$D149,products!$A$1:$A$49,0),MATCH(orders!K$1,products!$A$1:$G$1,0))</f>
        <v>1</v>
      </c>
      <c r="L149" s="4">
        <f>INDEX(products!$A$1:$G$49,MATCH(orders!$D149,products!$A$1:$A$49,0),MATCH(orders!L$1,products!$A$1:$G$1,0))</f>
        <v>13.75</v>
      </c>
      <c r="M149" s="4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hidden="1" x14ac:dyDescent="0.3">
      <c r="A150" s="2" t="s">
        <v>1322</v>
      </c>
      <c r="B150" s="7">
        <v>44551</v>
      </c>
      <c r="C150" s="2" t="s">
        <v>1323</v>
      </c>
      <c r="D150" t="s">
        <v>6152</v>
      </c>
      <c r="E150" s="2">
        <v>5</v>
      </c>
      <c r="F150" s="2" t="str">
        <f>_xlfn.XLOOKUP(C150,customers!$A$1:$A$1001,customers!$B$1:$B$1001,"",0)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6">
        <f>INDEX(products!$A$1:$G$49,MATCH(orders!$D150,products!$A$1:$A$49,0),MATCH(orders!K$1,products!$A$1:$G$1,0))</f>
        <v>0.2</v>
      </c>
      <c r="L150" s="4">
        <f>INDEX(products!$A$1:$G$49,MATCH(orders!$D150,products!$A$1:$A$49,0),MATCH(orders!L$1,products!$A$1:$G$1,0))</f>
        <v>3.645</v>
      </c>
      <c r="M150" s="4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hidden="1" x14ac:dyDescent="0.3">
      <c r="A151" s="2" t="s">
        <v>1328</v>
      </c>
      <c r="B151" s="7">
        <v>44108</v>
      </c>
      <c r="C151" s="2" t="s">
        <v>1329</v>
      </c>
      <c r="D151" t="s">
        <v>6174</v>
      </c>
      <c r="E151" s="2">
        <v>2</v>
      </c>
      <c r="F151" s="2" t="str">
        <f>_xlfn.XLOOKUP(C151,customers!$A$1:$A$1001,customers!$B$1:$B$1001,"",0)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6">
        <f>INDEX(products!$A$1:$G$49,MATCH(orders!$D151,products!$A$1:$A$49,0),MATCH(orders!K$1,products!$A$1:$G$1,0))</f>
        <v>2.5</v>
      </c>
      <c r="L151" s="4">
        <f>INDEX(products!$A$1:$G$49,MATCH(orders!$D151,products!$A$1:$A$49,0),MATCH(orders!L$1,products!$A$1:$G$1,0))</f>
        <v>25.874999999999996</v>
      </c>
      <c r="M151" s="4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hidden="1" x14ac:dyDescent="0.3">
      <c r="A152" s="2" t="s">
        <v>1333</v>
      </c>
      <c r="B152" s="7">
        <v>44051</v>
      </c>
      <c r="C152" s="2" t="s">
        <v>1334</v>
      </c>
      <c r="D152" t="s">
        <v>6142</v>
      </c>
      <c r="E152" s="2">
        <v>1</v>
      </c>
      <c r="F152" s="2" t="str">
        <f>_xlfn.XLOOKUP(C152,customers!$A$1:$A$1001,customers!$B$1:$B$1001,"",0)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6">
        <f>INDEX(products!$A$1:$G$49,MATCH(orders!$D152,products!$A$1:$A$49,0),MATCH(orders!K$1,products!$A$1:$G$1,0))</f>
        <v>1</v>
      </c>
      <c r="L152" s="4">
        <f>INDEX(products!$A$1:$G$49,MATCH(orders!$D152,products!$A$1:$A$49,0),MATCH(orders!L$1,products!$A$1:$G$1,0))</f>
        <v>12.95</v>
      </c>
      <c r="M152" s="4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hidden="1" x14ac:dyDescent="0.3">
      <c r="A153" s="2" t="s">
        <v>1339</v>
      </c>
      <c r="B153" s="7">
        <v>44115</v>
      </c>
      <c r="C153" s="2" t="s">
        <v>1340</v>
      </c>
      <c r="D153" t="s">
        <v>6154</v>
      </c>
      <c r="E153" s="2">
        <v>3</v>
      </c>
      <c r="F153" s="2" t="str">
        <f>_xlfn.XLOOKUP(C153,customers!$A$1:$A$1001,customers!$B$1:$B$1001,"",0)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6">
        <f>INDEX(products!$A$1:$G$49,MATCH(orders!$D153,products!$A$1:$A$49,0),MATCH(orders!K$1,products!$A$1:$G$1,0))</f>
        <v>1</v>
      </c>
      <c r="L153" s="4">
        <f>INDEX(products!$A$1:$G$49,MATCH(orders!$D153,products!$A$1:$A$49,0),MATCH(orders!L$1,products!$A$1:$G$1,0))</f>
        <v>11.25</v>
      </c>
      <c r="M153" s="4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hidden="1" x14ac:dyDescent="0.3">
      <c r="A154" s="2" t="s">
        <v>1344</v>
      </c>
      <c r="B154" s="7">
        <v>44510</v>
      </c>
      <c r="C154" s="2" t="s">
        <v>1345</v>
      </c>
      <c r="D154" t="s">
        <v>6150</v>
      </c>
      <c r="E154" s="2">
        <v>3</v>
      </c>
      <c r="F154" s="2" t="str">
        <f>_xlfn.XLOOKUP(C154,customers!$A$1:$A$1001,customers!$B$1:$B$1001,"",0)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6">
        <f>INDEX(products!$A$1:$G$49,MATCH(orders!$D154,products!$A$1:$A$49,0),MATCH(orders!K$1,products!$A$1:$G$1,0))</f>
        <v>2.5</v>
      </c>
      <c r="L154" s="4">
        <f>INDEX(products!$A$1:$G$49,MATCH(orders!$D154,products!$A$1:$A$49,0),MATCH(orders!L$1,products!$A$1:$G$1,0))</f>
        <v>22.884999999999998</v>
      </c>
      <c r="M154" s="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hidden="1" x14ac:dyDescent="0.3">
      <c r="A155" s="2" t="s">
        <v>1350</v>
      </c>
      <c r="B155" s="7">
        <v>44367</v>
      </c>
      <c r="C155" s="2" t="s">
        <v>1351</v>
      </c>
      <c r="D155" t="s">
        <v>6162</v>
      </c>
      <c r="E155" s="2">
        <v>1</v>
      </c>
      <c r="F155" s="2" t="str">
        <f>_xlfn.XLOOKUP(C155,customers!$A$1:$A$1001,customers!$B$1:$B$1001,"",0)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6">
        <f>INDEX(products!$A$1:$G$49,MATCH(orders!$D155,products!$A$1:$A$49,0),MATCH(orders!K$1,products!$A$1:$G$1,0))</f>
        <v>0.2</v>
      </c>
      <c r="L155" s="4">
        <f>INDEX(products!$A$1:$G$49,MATCH(orders!$D155,products!$A$1:$A$49,0),MATCH(orders!L$1,products!$A$1:$G$1,0))</f>
        <v>2.6849999999999996</v>
      </c>
      <c r="M155" s="4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hidden="1" x14ac:dyDescent="0.3">
      <c r="A156" s="2" t="s">
        <v>1355</v>
      </c>
      <c r="B156" s="7">
        <v>44473</v>
      </c>
      <c r="C156" s="2" t="s">
        <v>1356</v>
      </c>
      <c r="D156" t="s">
        <v>6167</v>
      </c>
      <c r="E156" s="2">
        <v>5</v>
      </c>
      <c r="F156" s="2" t="str">
        <f>_xlfn.XLOOKUP(C156,customers!$A$1:$A$1001,customers!$B$1:$B$1001,"",0)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6">
        <f>INDEX(products!$A$1:$G$49,MATCH(orders!$D156,products!$A$1:$A$49,0),MATCH(orders!K$1,products!$A$1:$G$1,0))</f>
        <v>2.5</v>
      </c>
      <c r="L156" s="4">
        <f>INDEX(products!$A$1:$G$49,MATCH(orders!$D156,products!$A$1:$A$49,0),MATCH(orders!L$1,products!$A$1:$G$1,0))</f>
        <v>22.884999999999998</v>
      </c>
      <c r="M156" s="4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hidden="1" x14ac:dyDescent="0.3">
      <c r="A157" s="2" t="s">
        <v>1361</v>
      </c>
      <c r="B157" s="7">
        <v>43640</v>
      </c>
      <c r="C157" s="2" t="s">
        <v>1362</v>
      </c>
      <c r="D157" t="s">
        <v>6174</v>
      </c>
      <c r="E157" s="2">
        <v>6</v>
      </c>
      <c r="F157" s="2" t="str">
        <f>_xlfn.XLOOKUP(C157,customers!$A$1:$A$1001,customers!$B$1:$B$1001,"",0)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6">
        <f>INDEX(products!$A$1:$G$49,MATCH(orders!$D157,products!$A$1:$A$49,0),MATCH(orders!K$1,products!$A$1:$G$1,0))</f>
        <v>2.5</v>
      </c>
      <c r="L157" s="4">
        <f>INDEX(products!$A$1:$G$49,MATCH(orders!$D157,products!$A$1:$A$49,0),MATCH(orders!L$1,products!$A$1:$G$1,0))</f>
        <v>25.874999999999996</v>
      </c>
      <c r="M157" s="4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hidden="1" x14ac:dyDescent="0.3">
      <c r="A158" s="2" t="s">
        <v>1367</v>
      </c>
      <c r="B158" s="7">
        <v>43764</v>
      </c>
      <c r="C158" s="2" t="s">
        <v>1368</v>
      </c>
      <c r="D158" t="s">
        <v>6174</v>
      </c>
      <c r="E158" s="2">
        <v>3</v>
      </c>
      <c r="F158" s="2" t="str">
        <f>_xlfn.XLOOKUP(C158,customers!$A$1:$A$1001,customers!$B$1:$B$1001,"",0)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6">
        <f>INDEX(products!$A$1:$G$49,MATCH(orders!$D158,products!$A$1:$A$49,0),MATCH(orders!K$1,products!$A$1:$G$1,0))</f>
        <v>2.5</v>
      </c>
      <c r="L158" s="4">
        <f>INDEX(products!$A$1:$G$49,MATCH(orders!$D158,products!$A$1:$A$49,0),MATCH(orders!L$1,products!$A$1:$G$1,0))</f>
        <v>25.874999999999996</v>
      </c>
      <c r="M158" s="4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hidden="1" x14ac:dyDescent="0.3">
      <c r="A159" s="2" t="s">
        <v>1373</v>
      </c>
      <c r="B159" s="7">
        <v>44374</v>
      </c>
      <c r="C159" s="2" t="s">
        <v>1374</v>
      </c>
      <c r="D159" t="s">
        <v>6148</v>
      </c>
      <c r="E159" s="2">
        <v>3</v>
      </c>
      <c r="F159" s="2" t="str">
        <f>_xlfn.XLOOKUP(C159,customers!$A$1:$A$1001,customers!$B$1:$B$1001,"",0)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6">
        <f>INDEX(products!$A$1:$G$49,MATCH(orders!$D159,products!$A$1:$A$49,0),MATCH(orders!K$1,products!$A$1:$G$1,0))</f>
        <v>2.5</v>
      </c>
      <c r="L159" s="4">
        <f>INDEX(products!$A$1:$G$49,MATCH(orders!$D159,products!$A$1:$A$49,0),MATCH(orders!L$1,products!$A$1:$G$1,0))</f>
        <v>20.584999999999997</v>
      </c>
      <c r="M159" s="4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hidden="1" x14ac:dyDescent="0.3">
      <c r="A160" s="2" t="s">
        <v>1379</v>
      </c>
      <c r="B160" s="7">
        <v>43714</v>
      </c>
      <c r="C160" s="2" t="s">
        <v>1380</v>
      </c>
      <c r="D160" t="s">
        <v>6148</v>
      </c>
      <c r="E160" s="2">
        <v>6</v>
      </c>
      <c r="F160" s="2" t="str">
        <f>_xlfn.XLOOKUP(C160,customers!$A$1:$A$1001,customers!$B$1:$B$1001,"",0)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6">
        <f>INDEX(products!$A$1:$G$49,MATCH(orders!$D160,products!$A$1:$A$49,0),MATCH(orders!K$1,products!$A$1:$G$1,0))</f>
        <v>2.5</v>
      </c>
      <c r="L160" s="4">
        <f>INDEX(products!$A$1:$G$49,MATCH(orders!$D160,products!$A$1:$A$49,0),MATCH(orders!L$1,products!$A$1:$G$1,0))</f>
        <v>20.584999999999997</v>
      </c>
      <c r="M160" s="4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hidden="1" x14ac:dyDescent="0.3">
      <c r="A161" s="2" t="s">
        <v>1384</v>
      </c>
      <c r="B161" s="7">
        <v>44316</v>
      </c>
      <c r="C161" s="2" t="s">
        <v>1385</v>
      </c>
      <c r="D161" t="s">
        <v>6163</v>
      </c>
      <c r="E161" s="2">
        <v>6</v>
      </c>
      <c r="F161" s="2" t="str">
        <f>_xlfn.XLOOKUP(C161,customers!$A$1:$A$1001,customers!$B$1:$B$1001,"",0)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6">
        <f>INDEX(products!$A$1:$G$49,MATCH(orders!$D161,products!$A$1:$A$49,0),MATCH(orders!K$1,products!$A$1:$G$1,0))</f>
        <v>2.5</v>
      </c>
      <c r="L161" s="4">
        <f>INDEX(products!$A$1:$G$49,MATCH(orders!$D161,products!$A$1:$A$49,0),MATCH(orders!L$1,products!$A$1:$G$1,0))</f>
        <v>36.454999999999998</v>
      </c>
      <c r="M161" s="4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hidden="1" x14ac:dyDescent="0.3">
      <c r="A162" s="2" t="s">
        <v>1389</v>
      </c>
      <c r="B162" s="7">
        <v>43837</v>
      </c>
      <c r="C162" s="2" t="s">
        <v>1390</v>
      </c>
      <c r="D162" t="s">
        <v>6138</v>
      </c>
      <c r="E162" s="2">
        <v>4</v>
      </c>
      <c r="F162" s="2" t="str">
        <f>_xlfn.XLOOKUP(C162,customers!$A$1:$A$1001,customers!$B$1:$B$1001,"",0)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6">
        <f>INDEX(products!$A$1:$G$49,MATCH(orders!$D162,products!$A$1:$A$49,0),MATCH(orders!K$1,products!$A$1:$G$1,0))</f>
        <v>0.5</v>
      </c>
      <c r="L162" s="4">
        <f>INDEX(products!$A$1:$G$49,MATCH(orders!$D162,products!$A$1:$A$49,0),MATCH(orders!L$1,products!$A$1:$G$1,0))</f>
        <v>8.25</v>
      </c>
      <c r="M162" s="4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hidden="1" x14ac:dyDescent="0.3">
      <c r="A163" s="2" t="s">
        <v>1395</v>
      </c>
      <c r="B163" s="7">
        <v>44207</v>
      </c>
      <c r="C163" s="2" t="s">
        <v>1396</v>
      </c>
      <c r="D163" t="s">
        <v>6179</v>
      </c>
      <c r="E163" s="2">
        <v>3</v>
      </c>
      <c r="F163" s="2" t="str">
        <f>_xlfn.XLOOKUP(C163,customers!$A$1:$A$1001,customers!$B$1:$B$1001,"",0)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6">
        <f>INDEX(products!$A$1:$G$49,MATCH(orders!$D163,products!$A$1:$A$49,0),MATCH(orders!K$1,products!$A$1:$G$1,0))</f>
        <v>0.5</v>
      </c>
      <c r="L163" s="4">
        <f>INDEX(products!$A$1:$G$49,MATCH(orders!$D163,products!$A$1:$A$49,0),MATCH(orders!L$1,products!$A$1:$G$1,0))</f>
        <v>7.77</v>
      </c>
      <c r="M163" s="4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hidden="1" x14ac:dyDescent="0.3">
      <c r="A164" s="2" t="s">
        <v>1401</v>
      </c>
      <c r="B164" s="7">
        <v>44515</v>
      </c>
      <c r="C164" s="2" t="s">
        <v>1402</v>
      </c>
      <c r="D164" t="s">
        <v>6143</v>
      </c>
      <c r="E164" s="2">
        <v>3</v>
      </c>
      <c r="F164" s="2" t="str">
        <f>_xlfn.XLOOKUP(C164,customers!$A$1:$A$1001,customers!$B$1:$B$1001,"",0)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6">
        <f>INDEX(products!$A$1:$G$49,MATCH(orders!$D164,products!$A$1:$A$49,0),MATCH(orders!K$1,products!$A$1:$G$1,0))</f>
        <v>0.5</v>
      </c>
      <c r="L164" s="4">
        <f>INDEX(products!$A$1:$G$49,MATCH(orders!$D164,products!$A$1:$A$49,0),MATCH(orders!L$1,products!$A$1:$G$1,0))</f>
        <v>7.29</v>
      </c>
      <c r="M164" s="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hidden="1" x14ac:dyDescent="0.3">
      <c r="A165" s="2" t="s">
        <v>1407</v>
      </c>
      <c r="B165" s="7">
        <v>43619</v>
      </c>
      <c r="C165" s="2" t="s">
        <v>1408</v>
      </c>
      <c r="D165" t="s">
        <v>6162</v>
      </c>
      <c r="E165" s="2">
        <v>6</v>
      </c>
      <c r="F165" s="2" t="str">
        <f>_xlfn.XLOOKUP(C165,customers!$A$1:$A$1001,customers!$B$1:$B$1001,"",0)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6">
        <f>INDEX(products!$A$1:$G$49,MATCH(orders!$D165,products!$A$1:$A$49,0),MATCH(orders!K$1,products!$A$1:$G$1,0))</f>
        <v>0.2</v>
      </c>
      <c r="L165" s="4">
        <f>INDEX(products!$A$1:$G$49,MATCH(orders!$D165,products!$A$1:$A$49,0),MATCH(orders!L$1,products!$A$1:$G$1,0))</f>
        <v>2.6849999999999996</v>
      </c>
      <c r="M165" s="4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hidden="1" x14ac:dyDescent="0.3">
      <c r="A166" s="2" t="s">
        <v>1413</v>
      </c>
      <c r="B166" s="7">
        <v>44182</v>
      </c>
      <c r="C166" s="2" t="s">
        <v>1414</v>
      </c>
      <c r="D166" t="s">
        <v>6143</v>
      </c>
      <c r="E166" s="2">
        <v>4</v>
      </c>
      <c r="F166" s="2" t="str">
        <f>_xlfn.XLOOKUP(C166,customers!$A$1:$A$1001,customers!$B$1:$B$1001,"",0)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6">
        <f>INDEX(products!$A$1:$G$49,MATCH(orders!$D166,products!$A$1:$A$49,0),MATCH(orders!K$1,products!$A$1:$G$1,0))</f>
        <v>0.5</v>
      </c>
      <c r="L166" s="4">
        <f>INDEX(products!$A$1:$G$49,MATCH(orders!$D166,products!$A$1:$A$49,0),MATCH(orders!L$1,products!$A$1:$G$1,0))</f>
        <v>7.29</v>
      </c>
      <c r="M166" s="4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hidden="1" x14ac:dyDescent="0.3">
      <c r="A167" s="2" t="s">
        <v>1420</v>
      </c>
      <c r="B167" s="7">
        <v>44234</v>
      </c>
      <c r="C167" s="2" t="s">
        <v>1421</v>
      </c>
      <c r="D167" t="s">
        <v>6176</v>
      </c>
      <c r="E167" s="2">
        <v>6</v>
      </c>
      <c r="F167" s="2" t="str">
        <f>_xlfn.XLOOKUP(C167,customers!$A$1:$A$1001,customers!$B$1:$B$1001,"",0)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6">
        <f>INDEX(products!$A$1:$G$49,MATCH(orders!$D167,products!$A$1:$A$49,0),MATCH(orders!K$1,products!$A$1:$G$1,0))</f>
        <v>1</v>
      </c>
      <c r="L167" s="4">
        <f>INDEX(products!$A$1:$G$49,MATCH(orders!$D167,products!$A$1:$A$49,0),MATCH(orders!L$1,products!$A$1:$G$1,0))</f>
        <v>8.9499999999999993</v>
      </c>
      <c r="M167" s="4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hidden="1" x14ac:dyDescent="0.3">
      <c r="A168" s="2" t="s">
        <v>1425</v>
      </c>
      <c r="B168" s="7">
        <v>44270</v>
      </c>
      <c r="C168" s="2" t="s">
        <v>1426</v>
      </c>
      <c r="D168" t="s">
        <v>6171</v>
      </c>
      <c r="E168" s="2">
        <v>5</v>
      </c>
      <c r="F168" s="2" t="str">
        <f>_xlfn.XLOOKUP(C168,customers!$A$1:$A$1001,customers!$B$1:$B$1001,"",0)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6">
        <f>INDEX(products!$A$1:$G$49,MATCH(orders!$D168,products!$A$1:$A$49,0),MATCH(orders!K$1,products!$A$1:$G$1,0))</f>
        <v>0.5</v>
      </c>
      <c r="L168" s="4">
        <f>INDEX(products!$A$1:$G$49,MATCH(orders!$D168,products!$A$1:$A$49,0),MATCH(orders!L$1,products!$A$1:$G$1,0))</f>
        <v>5.3699999999999992</v>
      </c>
      <c r="M168" s="4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3">
      <c r="A169" s="2" t="s">
        <v>1430</v>
      </c>
      <c r="B169" s="7">
        <v>44777</v>
      </c>
      <c r="C169" s="2" t="s">
        <v>1431</v>
      </c>
      <c r="D169" t="s">
        <v>6138</v>
      </c>
      <c r="E169" s="2">
        <v>5</v>
      </c>
      <c r="F169" s="2" t="str">
        <f>_xlfn.XLOOKUP(C169,customers!$A$1:$A$1001,customers!$B$1:$B$1001,"",0)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6">
        <f>INDEX(products!$A$1:$G$49,MATCH(orders!$D169,products!$A$1:$A$49,0),MATCH(orders!K$1,products!$A$1:$G$1,0))</f>
        <v>0.5</v>
      </c>
      <c r="L169" s="4">
        <f>INDEX(products!$A$1:$G$49,MATCH(orders!$D169,products!$A$1:$A$49,0),MATCH(orders!L$1,products!$A$1:$G$1,0))</f>
        <v>8.25</v>
      </c>
      <c r="M169" s="4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hidden="1" x14ac:dyDescent="0.3">
      <c r="A170" s="2" t="s">
        <v>1436</v>
      </c>
      <c r="B170" s="7">
        <v>43484</v>
      </c>
      <c r="C170" s="2" t="s">
        <v>1437</v>
      </c>
      <c r="D170" t="s">
        <v>6156</v>
      </c>
      <c r="E170" s="2">
        <v>6</v>
      </c>
      <c r="F170" s="2" t="str">
        <f>_xlfn.XLOOKUP(C170,customers!$A$1:$A$1001,customers!$B$1:$B$1001,"",0)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6">
        <f>INDEX(products!$A$1:$G$49,MATCH(orders!$D170,products!$A$1:$A$49,0),MATCH(orders!K$1,products!$A$1:$G$1,0))</f>
        <v>0.5</v>
      </c>
      <c r="L170" s="4">
        <f>INDEX(products!$A$1:$G$49,MATCH(orders!$D170,products!$A$1:$A$49,0),MATCH(orders!L$1,products!$A$1:$G$1,0))</f>
        <v>6.75</v>
      </c>
      <c r="M170" s="4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3">
      <c r="A171" s="2" t="s">
        <v>1441</v>
      </c>
      <c r="B171" s="7">
        <v>44643</v>
      </c>
      <c r="C171" s="2" t="s">
        <v>1442</v>
      </c>
      <c r="D171" t="s">
        <v>6176</v>
      </c>
      <c r="E171" s="2">
        <v>2</v>
      </c>
      <c r="F171" s="2" t="str">
        <f>_xlfn.XLOOKUP(C171,customers!$A$1:$A$1001,customers!$B$1:$B$1001,"",0)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6">
        <f>INDEX(products!$A$1:$G$49,MATCH(orders!$D171,products!$A$1:$A$49,0),MATCH(orders!K$1,products!$A$1:$G$1,0))</f>
        <v>1</v>
      </c>
      <c r="L171" s="4">
        <f>INDEX(products!$A$1:$G$49,MATCH(orders!$D171,products!$A$1:$A$49,0),MATCH(orders!L$1,products!$A$1:$G$1,0))</f>
        <v>8.9499999999999993</v>
      </c>
      <c r="M171" s="4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hidden="1" x14ac:dyDescent="0.3">
      <c r="A172" s="2" t="s">
        <v>1448</v>
      </c>
      <c r="B172" s="7">
        <v>44476</v>
      </c>
      <c r="C172" s="2" t="s">
        <v>1449</v>
      </c>
      <c r="D172" t="s">
        <v>6147</v>
      </c>
      <c r="E172" s="2">
        <v>2</v>
      </c>
      <c r="F172" s="2" t="str">
        <f>_xlfn.XLOOKUP(C172,customers!$A$1:$A$1001,customers!$B$1:$B$1001,"",0)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6">
        <f>INDEX(products!$A$1:$G$49,MATCH(orders!$D172,products!$A$1:$A$49,0),MATCH(orders!K$1,products!$A$1:$G$1,0))</f>
        <v>2.5</v>
      </c>
      <c r="L172" s="4">
        <f>INDEX(products!$A$1:$G$49,MATCH(orders!$D172,products!$A$1:$A$49,0),MATCH(orders!L$1,products!$A$1:$G$1,0))</f>
        <v>34.154999999999994</v>
      </c>
      <c r="M172" s="4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hidden="1" x14ac:dyDescent="0.3">
      <c r="A173" s="2" t="s">
        <v>1453</v>
      </c>
      <c r="B173" s="7">
        <v>43544</v>
      </c>
      <c r="C173" s="2" t="s">
        <v>1454</v>
      </c>
      <c r="D173" t="s">
        <v>6165</v>
      </c>
      <c r="E173" s="2">
        <v>2</v>
      </c>
      <c r="F173" s="2" t="str">
        <f>_xlfn.XLOOKUP(C173,customers!$A$1:$A$1001,customers!$B$1:$B$1001,"",0)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6">
        <f>INDEX(products!$A$1:$G$49,MATCH(orders!$D173,products!$A$1:$A$49,0),MATCH(orders!K$1,products!$A$1:$G$1,0))</f>
        <v>2.5</v>
      </c>
      <c r="L173" s="4">
        <f>INDEX(products!$A$1:$G$49,MATCH(orders!$D173,products!$A$1:$A$49,0),MATCH(orders!L$1,products!$A$1:$G$1,0))</f>
        <v>31.624999999999996</v>
      </c>
      <c r="M173" s="4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hidden="1" x14ac:dyDescent="0.3">
      <c r="A174" s="2" t="s">
        <v>1459</v>
      </c>
      <c r="B174" s="7">
        <v>44545</v>
      </c>
      <c r="C174" s="2" t="s">
        <v>1460</v>
      </c>
      <c r="D174" t="s">
        <v>6143</v>
      </c>
      <c r="E174" s="2">
        <v>3</v>
      </c>
      <c r="F174" s="2" t="str">
        <f>_xlfn.XLOOKUP(C174,customers!$A$1:$A$1001,customers!$B$1:$B$1001,"",0)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6">
        <f>INDEX(products!$A$1:$G$49,MATCH(orders!$D174,products!$A$1:$A$49,0),MATCH(orders!K$1,products!$A$1:$G$1,0))</f>
        <v>0.5</v>
      </c>
      <c r="L174" s="4">
        <f>INDEX(products!$A$1:$G$49,MATCH(orders!$D174,products!$A$1:$A$49,0),MATCH(orders!L$1,products!$A$1:$G$1,0))</f>
        <v>7.29</v>
      </c>
      <c r="M174" s="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3">
      <c r="A175" s="2" t="s">
        <v>1464</v>
      </c>
      <c r="B175" s="7">
        <v>44720</v>
      </c>
      <c r="C175" s="2" t="s">
        <v>1465</v>
      </c>
      <c r="D175" t="s">
        <v>6150</v>
      </c>
      <c r="E175" s="2">
        <v>4</v>
      </c>
      <c r="F175" s="2" t="str">
        <f>_xlfn.XLOOKUP(C175,customers!$A$1:$A$1001,customers!$B$1:$B$1001,"",0)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6">
        <f>INDEX(products!$A$1:$G$49,MATCH(orders!$D175,products!$A$1:$A$49,0),MATCH(orders!K$1,products!$A$1:$G$1,0))</f>
        <v>2.5</v>
      </c>
      <c r="L175" s="4">
        <f>INDEX(products!$A$1:$G$49,MATCH(orders!$D175,products!$A$1:$A$49,0),MATCH(orders!L$1,products!$A$1:$G$1,0))</f>
        <v>22.884999999999998</v>
      </c>
      <c r="M175" s="4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hidden="1" x14ac:dyDescent="0.3">
      <c r="A176" s="2" t="s">
        <v>1470</v>
      </c>
      <c r="B176" s="7">
        <v>43813</v>
      </c>
      <c r="C176" s="2" t="s">
        <v>1471</v>
      </c>
      <c r="D176" t="s">
        <v>6147</v>
      </c>
      <c r="E176" s="2">
        <v>6</v>
      </c>
      <c r="F176" s="2" t="str">
        <f>_xlfn.XLOOKUP(C176,customers!$A$1:$A$1001,customers!$B$1:$B$1001,"",0)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6">
        <f>INDEX(products!$A$1:$G$49,MATCH(orders!$D176,products!$A$1:$A$49,0),MATCH(orders!K$1,products!$A$1:$G$1,0))</f>
        <v>2.5</v>
      </c>
      <c r="L176" s="4">
        <f>INDEX(products!$A$1:$G$49,MATCH(orders!$D176,products!$A$1:$A$49,0),MATCH(orders!L$1,products!$A$1:$G$1,0))</f>
        <v>34.154999999999994</v>
      </c>
      <c r="M176" s="4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hidden="1" x14ac:dyDescent="0.3">
      <c r="A177" s="2" t="s">
        <v>1475</v>
      </c>
      <c r="B177" s="7">
        <v>44296</v>
      </c>
      <c r="C177" s="2" t="s">
        <v>1476</v>
      </c>
      <c r="D177" t="s">
        <v>6165</v>
      </c>
      <c r="E177" s="2">
        <v>2</v>
      </c>
      <c r="F177" s="2" t="str">
        <f>_xlfn.XLOOKUP(C177,customers!$A$1:$A$1001,customers!$B$1:$B$1001,"",0)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6">
        <f>INDEX(products!$A$1:$G$49,MATCH(orders!$D177,products!$A$1:$A$49,0),MATCH(orders!K$1,products!$A$1:$G$1,0))</f>
        <v>2.5</v>
      </c>
      <c r="L177" s="4">
        <f>INDEX(products!$A$1:$G$49,MATCH(orders!$D177,products!$A$1:$A$49,0),MATCH(orders!L$1,products!$A$1:$G$1,0))</f>
        <v>31.624999999999996</v>
      </c>
      <c r="M177" s="4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hidden="1" x14ac:dyDescent="0.3">
      <c r="A178" s="2" t="s">
        <v>1481</v>
      </c>
      <c r="B178" s="7">
        <v>43900</v>
      </c>
      <c r="C178" s="2" t="s">
        <v>1482</v>
      </c>
      <c r="D178" t="s">
        <v>6147</v>
      </c>
      <c r="E178" s="2">
        <v>1</v>
      </c>
      <c r="F178" s="2" t="str">
        <f>_xlfn.XLOOKUP(C178,customers!$A$1:$A$1001,customers!$B$1:$B$1001,"",0)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6">
        <f>INDEX(products!$A$1:$G$49,MATCH(orders!$D178,products!$A$1:$A$49,0),MATCH(orders!K$1,products!$A$1:$G$1,0))</f>
        <v>2.5</v>
      </c>
      <c r="L178" s="4">
        <f>INDEX(products!$A$1:$G$49,MATCH(orders!$D178,products!$A$1:$A$49,0),MATCH(orders!L$1,products!$A$1:$G$1,0))</f>
        <v>34.154999999999994</v>
      </c>
      <c r="M178" s="4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hidden="1" x14ac:dyDescent="0.3">
      <c r="A179" s="2" t="s">
        <v>1487</v>
      </c>
      <c r="B179" s="7">
        <v>44120</v>
      </c>
      <c r="C179" s="2" t="s">
        <v>1488</v>
      </c>
      <c r="D179" t="s">
        <v>6141</v>
      </c>
      <c r="E179" s="2">
        <v>4</v>
      </c>
      <c r="F179" s="2" t="str">
        <f>_xlfn.XLOOKUP(C179,customers!$A$1:$A$1001,customers!$B$1:$B$1001,"",0)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6">
        <f>INDEX(products!$A$1:$G$49,MATCH(orders!$D179,products!$A$1:$A$49,0),MATCH(orders!K$1,products!$A$1:$G$1,0))</f>
        <v>2.5</v>
      </c>
      <c r="L179" s="4">
        <f>INDEX(products!$A$1:$G$49,MATCH(orders!$D179,products!$A$1:$A$49,0),MATCH(orders!L$1,products!$A$1:$G$1,0))</f>
        <v>27.484999999999996</v>
      </c>
      <c r="M179" s="4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hidden="1" x14ac:dyDescent="0.3">
      <c r="A180" s="2" t="s">
        <v>1492</v>
      </c>
      <c r="B180" s="7">
        <v>43746</v>
      </c>
      <c r="C180" s="2" t="s">
        <v>1493</v>
      </c>
      <c r="D180" t="s">
        <v>6139</v>
      </c>
      <c r="E180" s="2">
        <v>2</v>
      </c>
      <c r="F180" s="2" t="str">
        <f>_xlfn.XLOOKUP(C180,customers!$A$1:$A$1001,customers!$B$1:$B$1001,"",0)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6">
        <f>INDEX(products!$A$1:$G$49,MATCH(orders!$D180,products!$A$1:$A$49,0),MATCH(orders!K$1,products!$A$1:$G$1,0))</f>
        <v>1</v>
      </c>
      <c r="L180" s="4">
        <f>INDEX(products!$A$1:$G$49,MATCH(orders!$D180,products!$A$1:$A$49,0),MATCH(orders!L$1,products!$A$1:$G$1,0))</f>
        <v>12.95</v>
      </c>
      <c r="M180" s="4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hidden="1" x14ac:dyDescent="0.3">
      <c r="A181" s="2" t="s">
        <v>1498</v>
      </c>
      <c r="B181" s="7">
        <v>43830</v>
      </c>
      <c r="C181" s="2" t="s">
        <v>1499</v>
      </c>
      <c r="D181" t="s">
        <v>6153</v>
      </c>
      <c r="E181" s="2">
        <v>1</v>
      </c>
      <c r="F181" s="2" t="str">
        <f>_xlfn.XLOOKUP(C181,customers!$A$1:$A$1001,customers!$B$1:$B$1001,"",0)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6">
        <f>INDEX(products!$A$1:$G$49,MATCH(orders!$D181,products!$A$1:$A$49,0),MATCH(orders!K$1,products!$A$1:$G$1,0))</f>
        <v>0.2</v>
      </c>
      <c r="L181" s="4">
        <f>INDEX(products!$A$1:$G$49,MATCH(orders!$D181,products!$A$1:$A$49,0),MATCH(orders!L$1,products!$A$1:$G$1,0))</f>
        <v>2.9849999999999999</v>
      </c>
      <c r="M181" s="4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hidden="1" x14ac:dyDescent="0.3">
      <c r="A182" s="2" t="s">
        <v>1503</v>
      </c>
      <c r="B182" s="7">
        <v>43910</v>
      </c>
      <c r="C182" s="2" t="s">
        <v>1504</v>
      </c>
      <c r="D182" t="s">
        <v>6183</v>
      </c>
      <c r="E182" s="2">
        <v>5</v>
      </c>
      <c r="F182" s="2" t="str">
        <f>_xlfn.XLOOKUP(C182,customers!$A$1:$A$1001,customers!$B$1:$B$1001,"",0)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6">
        <f>INDEX(products!$A$1:$G$49,MATCH(orders!$D182,products!$A$1:$A$49,0),MATCH(orders!K$1,products!$A$1:$G$1,0))</f>
        <v>0.2</v>
      </c>
      <c r="L182" s="4">
        <f>INDEX(products!$A$1:$G$49,MATCH(orders!$D182,products!$A$1:$A$49,0),MATCH(orders!L$1,products!$A$1:$G$1,0))</f>
        <v>4.4550000000000001</v>
      </c>
      <c r="M182" s="4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hidden="1" x14ac:dyDescent="0.3">
      <c r="A183" s="2" t="s">
        <v>1503</v>
      </c>
      <c r="B183" s="7">
        <v>43910</v>
      </c>
      <c r="C183" s="2" t="s">
        <v>1504</v>
      </c>
      <c r="D183" t="s">
        <v>6157</v>
      </c>
      <c r="E183" s="2">
        <v>5</v>
      </c>
      <c r="F183" s="2" t="str">
        <f>_xlfn.XLOOKUP(C183,customers!$A$1:$A$1001,customers!$B$1:$B$1001,"",0)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6">
        <f>INDEX(products!$A$1:$G$49,MATCH(orders!$D183,products!$A$1:$A$49,0),MATCH(orders!K$1,products!$A$1:$G$1,0))</f>
        <v>0.5</v>
      </c>
      <c r="L183" s="4">
        <f>INDEX(products!$A$1:$G$49,MATCH(orders!$D183,products!$A$1:$A$49,0),MATCH(orders!L$1,products!$A$1:$G$1,0))</f>
        <v>5.97</v>
      </c>
      <c r="M183" s="4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hidden="1" x14ac:dyDescent="0.3">
      <c r="A184" s="2" t="s">
        <v>1514</v>
      </c>
      <c r="B184" s="7">
        <v>44284</v>
      </c>
      <c r="C184" s="2" t="s">
        <v>1515</v>
      </c>
      <c r="D184" t="s">
        <v>6171</v>
      </c>
      <c r="E184" s="2">
        <v>6</v>
      </c>
      <c r="F184" s="2" t="str">
        <f>_xlfn.XLOOKUP(C184,customers!$A$1:$A$1001,customers!$B$1:$B$1001,"",0)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6">
        <f>INDEX(products!$A$1:$G$49,MATCH(orders!$D184,products!$A$1:$A$49,0),MATCH(orders!K$1,products!$A$1:$G$1,0))</f>
        <v>0.5</v>
      </c>
      <c r="L184" s="4">
        <f>INDEX(products!$A$1:$G$49,MATCH(orders!$D184,products!$A$1:$A$49,0),MATCH(orders!L$1,products!$A$1:$G$1,0))</f>
        <v>5.3699999999999992</v>
      </c>
      <c r="M184" s="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hidden="1" x14ac:dyDescent="0.3">
      <c r="A185" s="2" t="s">
        <v>1520</v>
      </c>
      <c r="B185" s="7">
        <v>44512</v>
      </c>
      <c r="C185" s="2" t="s">
        <v>1521</v>
      </c>
      <c r="D185" t="s">
        <v>6155</v>
      </c>
      <c r="E185" s="2">
        <v>2</v>
      </c>
      <c r="F185" s="2" t="str">
        <f>_xlfn.XLOOKUP(C185,customers!$A$1:$A$1001,customers!$B$1:$B$1001,"",0)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6">
        <f>INDEX(products!$A$1:$G$49,MATCH(orders!$D185,products!$A$1:$A$49,0),MATCH(orders!K$1,products!$A$1:$G$1,0))</f>
        <v>0.2</v>
      </c>
      <c r="L185" s="4">
        <f>INDEX(products!$A$1:$G$49,MATCH(orders!$D185,products!$A$1:$A$49,0),MATCH(orders!L$1,products!$A$1:$G$1,0))</f>
        <v>4.125</v>
      </c>
      <c r="M185" s="4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hidden="1" x14ac:dyDescent="0.3">
      <c r="A186" s="2" t="s">
        <v>1526</v>
      </c>
      <c r="B186" s="7">
        <v>44397</v>
      </c>
      <c r="C186" s="2" t="s">
        <v>1527</v>
      </c>
      <c r="D186" t="s">
        <v>6179</v>
      </c>
      <c r="E186" s="2">
        <v>4</v>
      </c>
      <c r="F186" s="2" t="str">
        <f>_xlfn.XLOOKUP(C186,customers!$A$1:$A$1001,customers!$B$1:$B$1001,"",0)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6">
        <f>INDEX(products!$A$1:$G$49,MATCH(orders!$D186,products!$A$1:$A$49,0),MATCH(orders!K$1,products!$A$1:$G$1,0))</f>
        <v>0.5</v>
      </c>
      <c r="L186" s="4">
        <f>INDEX(products!$A$1:$G$49,MATCH(orders!$D186,products!$A$1:$A$49,0),MATCH(orders!L$1,products!$A$1:$G$1,0))</f>
        <v>7.77</v>
      </c>
      <c r="M186" s="4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hidden="1" x14ac:dyDescent="0.3">
      <c r="A187" s="2" t="s">
        <v>1532</v>
      </c>
      <c r="B187" s="7">
        <v>43483</v>
      </c>
      <c r="C187" s="2" t="s">
        <v>1533</v>
      </c>
      <c r="D187" t="s">
        <v>6143</v>
      </c>
      <c r="E187" s="2">
        <v>5</v>
      </c>
      <c r="F187" s="2" t="str">
        <f>_xlfn.XLOOKUP(C187,customers!$A$1:$A$1001,customers!$B$1:$B$1001,"",0)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6">
        <f>INDEX(products!$A$1:$G$49,MATCH(orders!$D187,products!$A$1:$A$49,0),MATCH(orders!K$1,products!$A$1:$G$1,0))</f>
        <v>0.5</v>
      </c>
      <c r="L187" s="4">
        <f>INDEX(products!$A$1:$G$49,MATCH(orders!$D187,products!$A$1:$A$49,0),MATCH(orders!L$1,products!$A$1:$G$1,0))</f>
        <v>7.29</v>
      </c>
      <c r="M187" s="4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hidden="1" x14ac:dyDescent="0.3">
      <c r="A188" s="2" t="s">
        <v>1538</v>
      </c>
      <c r="B188" s="7">
        <v>43684</v>
      </c>
      <c r="C188" s="2" t="s">
        <v>1539</v>
      </c>
      <c r="D188" t="s">
        <v>6150</v>
      </c>
      <c r="E188" s="2">
        <v>3</v>
      </c>
      <c r="F188" s="2" t="str">
        <f>_xlfn.XLOOKUP(C188,customers!$A$1:$A$1001,customers!$B$1:$B$1001,"",0)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6">
        <f>INDEX(products!$A$1:$G$49,MATCH(orders!$D188,products!$A$1:$A$49,0),MATCH(orders!K$1,products!$A$1:$G$1,0))</f>
        <v>2.5</v>
      </c>
      <c r="L188" s="4">
        <f>INDEX(products!$A$1:$G$49,MATCH(orders!$D188,products!$A$1:$A$49,0),MATCH(orders!L$1,products!$A$1:$G$1,0))</f>
        <v>22.884999999999998</v>
      </c>
      <c r="M188" s="4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3">
      <c r="A189" s="2" t="s">
        <v>1544</v>
      </c>
      <c r="B189" s="7">
        <v>44633</v>
      </c>
      <c r="C189" s="2" t="s">
        <v>1545</v>
      </c>
      <c r="D189" t="s">
        <v>6159</v>
      </c>
      <c r="E189" s="2">
        <v>5</v>
      </c>
      <c r="F189" s="2" t="str">
        <f>_xlfn.XLOOKUP(C189,customers!$A$1:$A$1001,customers!$B$1:$B$1001,"",0)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6">
        <f>INDEX(products!$A$1:$G$49,MATCH(orders!$D189,products!$A$1:$A$49,0),MATCH(orders!K$1,products!$A$1:$G$1,0))</f>
        <v>0.5</v>
      </c>
      <c r="L189" s="4">
        <f>INDEX(products!$A$1:$G$49,MATCH(orders!$D189,products!$A$1:$A$49,0),MATCH(orders!L$1,products!$A$1:$G$1,0))</f>
        <v>8.73</v>
      </c>
      <c r="M189" s="4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3">
      <c r="A190" s="2" t="s">
        <v>1549</v>
      </c>
      <c r="B190" s="7">
        <v>44698</v>
      </c>
      <c r="C190" s="2" t="s">
        <v>1550</v>
      </c>
      <c r="D190" t="s">
        <v>6183</v>
      </c>
      <c r="E190" s="2">
        <v>1</v>
      </c>
      <c r="F190" s="2" t="str">
        <f>_xlfn.XLOOKUP(C190,customers!$A$1:$A$1001,customers!$B$1:$B$1001,"",0)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6">
        <f>INDEX(products!$A$1:$G$49,MATCH(orders!$D190,products!$A$1:$A$49,0),MATCH(orders!K$1,products!$A$1:$G$1,0))</f>
        <v>0.2</v>
      </c>
      <c r="L190" s="4">
        <f>INDEX(products!$A$1:$G$49,MATCH(orders!$D190,products!$A$1:$A$49,0),MATCH(orders!L$1,products!$A$1:$G$1,0))</f>
        <v>4.4550000000000001</v>
      </c>
      <c r="M190" s="4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hidden="1" x14ac:dyDescent="0.3">
      <c r="A191" s="2" t="s">
        <v>1555</v>
      </c>
      <c r="B191" s="7">
        <v>43813</v>
      </c>
      <c r="C191" s="2" t="s">
        <v>1556</v>
      </c>
      <c r="D191" t="s">
        <v>6161</v>
      </c>
      <c r="E191" s="2">
        <v>3</v>
      </c>
      <c r="F191" s="2" t="str">
        <f>_xlfn.XLOOKUP(C191,customers!$A$1:$A$1001,customers!$B$1:$B$1001,"",0)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6">
        <f>INDEX(products!$A$1:$G$49,MATCH(orders!$D191,products!$A$1:$A$49,0),MATCH(orders!K$1,products!$A$1:$G$1,0))</f>
        <v>1</v>
      </c>
      <c r="L191" s="4">
        <f>INDEX(products!$A$1:$G$49,MATCH(orders!$D191,products!$A$1:$A$49,0),MATCH(orders!L$1,products!$A$1:$G$1,0))</f>
        <v>14.55</v>
      </c>
      <c r="M191" s="4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hidden="1" x14ac:dyDescent="0.3">
      <c r="A192" s="2" t="s">
        <v>1561</v>
      </c>
      <c r="B192" s="7">
        <v>43845</v>
      </c>
      <c r="C192" s="2" t="s">
        <v>1562</v>
      </c>
      <c r="D192" t="s">
        <v>6180</v>
      </c>
      <c r="E192" s="2">
        <v>1</v>
      </c>
      <c r="F192" s="2" t="str">
        <f>_xlfn.XLOOKUP(C192,customers!$A$1:$A$1001,customers!$B$1:$B$1001,"",0)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6">
        <f>INDEX(products!$A$1:$G$49,MATCH(orders!$D192,products!$A$1:$A$49,0),MATCH(orders!K$1,products!$A$1:$G$1,0))</f>
        <v>2.5</v>
      </c>
      <c r="L192" s="4">
        <f>INDEX(products!$A$1:$G$49,MATCH(orders!$D192,products!$A$1:$A$49,0),MATCH(orders!L$1,products!$A$1:$G$1,0))</f>
        <v>33.464999999999996</v>
      </c>
      <c r="M192" s="4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hidden="1" x14ac:dyDescent="0.3">
      <c r="A193" s="2" t="s">
        <v>1567</v>
      </c>
      <c r="B193" s="7">
        <v>43567</v>
      </c>
      <c r="C193" s="2" t="s">
        <v>1568</v>
      </c>
      <c r="D193" t="s">
        <v>6149</v>
      </c>
      <c r="E193" s="2">
        <v>5</v>
      </c>
      <c r="F193" s="2" t="str">
        <f>_xlfn.XLOOKUP(C193,customers!$A$1:$A$1001,customers!$B$1:$B$1001,"",0)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6">
        <f>INDEX(products!$A$1:$G$49,MATCH(orders!$D193,products!$A$1:$A$49,0),MATCH(orders!K$1,products!$A$1:$G$1,0))</f>
        <v>0.2</v>
      </c>
      <c r="L193" s="4">
        <f>INDEX(products!$A$1:$G$49,MATCH(orders!$D193,products!$A$1:$A$49,0),MATCH(orders!L$1,products!$A$1:$G$1,0))</f>
        <v>3.8849999999999998</v>
      </c>
      <c r="M193" s="4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hidden="1" x14ac:dyDescent="0.3">
      <c r="A194" s="2" t="s">
        <v>1573</v>
      </c>
      <c r="B194" s="7">
        <v>43919</v>
      </c>
      <c r="C194" s="2" t="s">
        <v>1574</v>
      </c>
      <c r="D194" t="s">
        <v>6182</v>
      </c>
      <c r="E194" s="2">
        <v>6</v>
      </c>
      <c r="F194" s="2" t="str">
        <f>_xlfn.XLOOKUP(C194,customers!$A$1:$A$1001,customers!$B$1:$B$1001,"",0)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6">
        <f>INDEX(products!$A$1:$G$49,MATCH(orders!$D194,products!$A$1:$A$49,0),MATCH(orders!K$1,products!$A$1:$G$1,0))</f>
        <v>1</v>
      </c>
      <c r="L194" s="4">
        <f>INDEX(products!$A$1:$G$49,MATCH(orders!$D194,products!$A$1:$A$49,0),MATCH(orders!L$1,products!$A$1:$G$1,0))</f>
        <v>12.15</v>
      </c>
      <c r="M194" s="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3">
      <c r="A195" s="2" t="s">
        <v>1579</v>
      </c>
      <c r="B195" s="7">
        <v>44644</v>
      </c>
      <c r="C195" s="2" t="s">
        <v>1580</v>
      </c>
      <c r="D195" t="s">
        <v>6170</v>
      </c>
      <c r="E195" s="2">
        <v>3</v>
      </c>
      <c r="F195" s="2" t="str">
        <f>_xlfn.XLOOKUP(C195,customers!$A$1:$A$1001,customers!$B$1:$B$1001,"",0)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6">
        <f>INDEX(products!$A$1:$G$49,MATCH(orders!$D195,products!$A$1:$A$49,0),MATCH(orders!K$1,products!$A$1:$G$1,0))</f>
        <v>1</v>
      </c>
      <c r="L195" s="4">
        <f>INDEX(products!$A$1:$G$49,MATCH(orders!$D195,products!$A$1:$A$49,0),MATCH(orders!L$1,products!$A$1:$G$1,0))</f>
        <v>14.85</v>
      </c>
      <c r="M195" s="4">
        <f t="shared" ref="M195:M258" si="9">E195*L195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hidden="1" x14ac:dyDescent="0.3">
      <c r="A196" s="2" t="s">
        <v>1584</v>
      </c>
      <c r="B196" s="7">
        <v>44398</v>
      </c>
      <c r="C196" s="2" t="s">
        <v>1585</v>
      </c>
      <c r="D196" t="s">
        <v>6143</v>
      </c>
      <c r="E196" s="2">
        <v>5</v>
      </c>
      <c r="F196" s="2" t="str">
        <f>_xlfn.XLOOKUP(C196,customers!$A$1:$A$1001,customers!$B$1:$B$1001,"",0)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6">
        <f>INDEX(products!$A$1:$G$49,MATCH(orders!$D196,products!$A$1:$A$49,0),MATCH(orders!K$1,products!$A$1:$G$1,0))</f>
        <v>0.5</v>
      </c>
      <c r="L196" s="4">
        <f>INDEX(products!$A$1:$G$49,MATCH(orders!$D196,products!$A$1:$A$49,0),MATCH(orders!L$1,products!$A$1:$G$1,0))</f>
        <v>7.29</v>
      </c>
      <c r="M196" s="4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hidden="1" x14ac:dyDescent="0.3">
      <c r="A197" s="2" t="s">
        <v>1590</v>
      </c>
      <c r="B197" s="7">
        <v>43683</v>
      </c>
      <c r="C197" s="2" t="s">
        <v>1591</v>
      </c>
      <c r="D197" t="s">
        <v>6139</v>
      </c>
      <c r="E197" s="2">
        <v>3</v>
      </c>
      <c r="F197" s="2" t="str">
        <f>_xlfn.XLOOKUP(C197,customers!$A$1:$A$1001,customers!$B$1:$B$1001,"",0)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6">
        <f>INDEX(products!$A$1:$G$49,MATCH(orders!$D197,products!$A$1:$A$49,0),MATCH(orders!K$1,products!$A$1:$G$1,0))</f>
        <v>1</v>
      </c>
      <c r="L197" s="4">
        <f>INDEX(products!$A$1:$G$49,MATCH(orders!$D197,products!$A$1:$A$49,0),MATCH(orders!L$1,products!$A$1:$G$1,0))</f>
        <v>12.95</v>
      </c>
      <c r="M197" s="4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hidden="1" x14ac:dyDescent="0.3">
      <c r="A198" s="2" t="s">
        <v>1596</v>
      </c>
      <c r="B198" s="7">
        <v>44339</v>
      </c>
      <c r="C198" s="2" t="s">
        <v>1597</v>
      </c>
      <c r="D198" t="s">
        <v>6175</v>
      </c>
      <c r="E198" s="2">
        <v>6</v>
      </c>
      <c r="F198" s="2" t="str">
        <f>_xlfn.XLOOKUP(C198,customers!$A$1:$A$1001,customers!$B$1:$B$1001,"",0)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6">
        <f>INDEX(products!$A$1:$G$49,MATCH(orders!$D198,products!$A$1:$A$49,0),MATCH(orders!K$1,products!$A$1:$G$1,0))</f>
        <v>0.5</v>
      </c>
      <c r="L198" s="4">
        <f>INDEX(products!$A$1:$G$49,MATCH(orders!$D198,products!$A$1:$A$49,0),MATCH(orders!L$1,products!$A$1:$G$1,0))</f>
        <v>8.91</v>
      </c>
      <c r="M198" s="4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hidden="1" x14ac:dyDescent="0.3">
      <c r="A199" s="2" t="s">
        <v>1596</v>
      </c>
      <c r="B199" s="7">
        <v>44339</v>
      </c>
      <c r="C199" s="2" t="s">
        <v>1597</v>
      </c>
      <c r="D199" t="s">
        <v>6164</v>
      </c>
      <c r="E199" s="2">
        <v>2</v>
      </c>
      <c r="F199" s="2" t="str">
        <f>_xlfn.XLOOKUP(C199,customers!$A$1:$A$1001,customers!$B$1:$B$1001,"",0)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6">
        <f>INDEX(products!$A$1:$G$49,MATCH(orders!$D199,products!$A$1:$A$49,0),MATCH(orders!K$1,products!$A$1:$G$1,0))</f>
        <v>2.5</v>
      </c>
      <c r="L199" s="4">
        <f>INDEX(products!$A$1:$G$49,MATCH(orders!$D199,products!$A$1:$A$49,0),MATCH(orders!L$1,products!$A$1:$G$1,0))</f>
        <v>29.784999999999997</v>
      </c>
      <c r="M199" s="4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hidden="1" x14ac:dyDescent="0.3">
      <c r="A200" s="2" t="s">
        <v>1596</v>
      </c>
      <c r="B200" s="7">
        <v>44339</v>
      </c>
      <c r="C200" s="2" t="s">
        <v>1597</v>
      </c>
      <c r="D200" t="s">
        <v>6164</v>
      </c>
      <c r="E200" s="2">
        <v>3</v>
      </c>
      <c r="F200" s="2" t="str">
        <f>_xlfn.XLOOKUP(C200,customers!$A$1:$A$1001,customers!$B$1:$B$1001,"",0)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6">
        <f>INDEX(products!$A$1:$G$49,MATCH(orders!$D200,products!$A$1:$A$49,0),MATCH(orders!K$1,products!$A$1:$G$1,0))</f>
        <v>2.5</v>
      </c>
      <c r="L200" s="4">
        <f>INDEX(products!$A$1:$G$49,MATCH(orders!$D200,products!$A$1:$A$49,0),MATCH(orders!L$1,products!$A$1:$G$1,0))</f>
        <v>29.784999999999997</v>
      </c>
      <c r="M200" s="4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hidden="1" x14ac:dyDescent="0.3">
      <c r="A201" s="2" t="s">
        <v>1596</v>
      </c>
      <c r="B201" s="7">
        <v>44339</v>
      </c>
      <c r="C201" s="2" t="s">
        <v>1597</v>
      </c>
      <c r="D201" t="s">
        <v>6160</v>
      </c>
      <c r="E201" s="2">
        <v>4</v>
      </c>
      <c r="F201" s="2" t="str">
        <f>_xlfn.XLOOKUP(C201,customers!$A$1:$A$1001,customers!$B$1:$B$1001,"",0)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6">
        <f>INDEX(products!$A$1:$G$49,MATCH(orders!$D201,products!$A$1:$A$49,0),MATCH(orders!K$1,products!$A$1:$G$1,0))</f>
        <v>0.5</v>
      </c>
      <c r="L201" s="4">
        <f>INDEX(products!$A$1:$G$49,MATCH(orders!$D201,products!$A$1:$A$49,0),MATCH(orders!L$1,products!$A$1:$G$1,0))</f>
        <v>9.51</v>
      </c>
      <c r="M201" s="4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hidden="1" x14ac:dyDescent="0.3">
      <c r="A202" s="2" t="s">
        <v>1596</v>
      </c>
      <c r="B202" s="7">
        <v>44339</v>
      </c>
      <c r="C202" s="2" t="s">
        <v>1597</v>
      </c>
      <c r="D202" t="s">
        <v>6140</v>
      </c>
      <c r="E202" s="2">
        <v>3</v>
      </c>
      <c r="F202" s="2" t="str">
        <f>_xlfn.XLOOKUP(C202,customers!$A$1:$A$1001,customers!$B$1:$B$1001,"",0)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6">
        <f>INDEX(products!$A$1:$G$49,MATCH(orders!$D202,products!$A$1:$A$49,0),MATCH(orders!K$1,products!$A$1:$G$1,0))</f>
        <v>1</v>
      </c>
      <c r="L202" s="4">
        <f>INDEX(products!$A$1:$G$49,MATCH(orders!$D202,products!$A$1:$A$49,0),MATCH(orders!L$1,products!$A$1:$G$1,0))</f>
        <v>13.75</v>
      </c>
      <c r="M202" s="4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hidden="1" x14ac:dyDescent="0.3">
      <c r="A203" s="2" t="s">
        <v>1621</v>
      </c>
      <c r="B203" s="7">
        <v>44294</v>
      </c>
      <c r="C203" s="2" t="s">
        <v>1622</v>
      </c>
      <c r="D203" t="s">
        <v>6160</v>
      </c>
      <c r="E203" s="2">
        <v>6</v>
      </c>
      <c r="F203" s="2" t="str">
        <f>_xlfn.XLOOKUP(C203,customers!$A$1:$A$1001,customers!$B$1:$B$1001,"",0)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6">
        <f>INDEX(products!$A$1:$G$49,MATCH(orders!$D203,products!$A$1:$A$49,0),MATCH(orders!K$1,products!$A$1:$G$1,0))</f>
        <v>0.5</v>
      </c>
      <c r="L203" s="4">
        <f>INDEX(products!$A$1:$G$49,MATCH(orders!$D203,products!$A$1:$A$49,0),MATCH(orders!L$1,products!$A$1:$G$1,0))</f>
        <v>9.51</v>
      </c>
      <c r="M203" s="4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hidden="1" x14ac:dyDescent="0.3">
      <c r="A204" s="2" t="s">
        <v>1626</v>
      </c>
      <c r="B204" s="7">
        <v>44486</v>
      </c>
      <c r="C204" s="2" t="s">
        <v>1627</v>
      </c>
      <c r="D204" t="s">
        <v>6164</v>
      </c>
      <c r="E204" s="2">
        <v>6</v>
      </c>
      <c r="F204" s="2" t="str">
        <f>_xlfn.XLOOKUP(C204,customers!$A$1:$A$1001,customers!$B$1:$B$1001,"",0)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6">
        <f>INDEX(products!$A$1:$G$49,MATCH(orders!$D204,products!$A$1:$A$49,0),MATCH(orders!K$1,products!$A$1:$G$1,0))</f>
        <v>2.5</v>
      </c>
      <c r="L204" s="4">
        <f>INDEX(products!$A$1:$G$49,MATCH(orders!$D204,products!$A$1:$A$49,0),MATCH(orders!L$1,products!$A$1:$G$1,0))</f>
        <v>29.784999999999997</v>
      </c>
      <c r="M204" s="4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3">
      <c r="A205" s="2" t="s">
        <v>1632</v>
      </c>
      <c r="B205" s="7">
        <v>44608</v>
      </c>
      <c r="C205" s="2" t="s">
        <v>1633</v>
      </c>
      <c r="D205" t="s">
        <v>6144</v>
      </c>
      <c r="E205" s="2">
        <v>1</v>
      </c>
      <c r="F205" s="2" t="str">
        <f>_xlfn.XLOOKUP(C205,customers!$A$1:$A$1001,customers!$B$1:$B$1001,"",0)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6">
        <f>INDEX(products!$A$1:$G$49,MATCH(orders!$D205,products!$A$1:$A$49,0),MATCH(orders!K$1,products!$A$1:$G$1,0))</f>
        <v>0.2</v>
      </c>
      <c r="L205" s="4">
        <f>INDEX(products!$A$1:$G$49,MATCH(orders!$D205,products!$A$1:$A$49,0),MATCH(orders!L$1,products!$A$1:$G$1,0))</f>
        <v>4.7549999999999999</v>
      </c>
      <c r="M205" s="4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hidden="1" x14ac:dyDescent="0.3">
      <c r="A206" s="2" t="s">
        <v>1638</v>
      </c>
      <c r="B206" s="7">
        <v>44027</v>
      </c>
      <c r="C206" s="2" t="s">
        <v>1639</v>
      </c>
      <c r="D206" t="s">
        <v>6140</v>
      </c>
      <c r="E206" s="2">
        <v>6</v>
      </c>
      <c r="F206" s="2" t="str">
        <f>_xlfn.XLOOKUP(C206,customers!$A$1:$A$1001,customers!$B$1:$B$1001,"",0)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6">
        <f>INDEX(products!$A$1:$G$49,MATCH(orders!$D206,products!$A$1:$A$49,0),MATCH(orders!K$1,products!$A$1:$G$1,0))</f>
        <v>1</v>
      </c>
      <c r="L206" s="4">
        <f>INDEX(products!$A$1:$G$49,MATCH(orders!$D206,products!$A$1:$A$49,0),MATCH(orders!L$1,products!$A$1:$G$1,0))</f>
        <v>13.75</v>
      </c>
      <c r="M206" s="4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hidden="1" x14ac:dyDescent="0.3">
      <c r="A207" s="2" t="s">
        <v>1643</v>
      </c>
      <c r="B207" s="7">
        <v>43883</v>
      </c>
      <c r="C207" s="2" t="s">
        <v>1644</v>
      </c>
      <c r="D207" t="s">
        <v>6162</v>
      </c>
      <c r="E207" s="2">
        <v>3</v>
      </c>
      <c r="F207" s="2" t="str">
        <f>_xlfn.XLOOKUP(C207,customers!$A$1:$A$1001,customers!$B$1:$B$1001,"",0)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6">
        <f>INDEX(products!$A$1:$G$49,MATCH(orders!$D207,products!$A$1:$A$49,0),MATCH(orders!K$1,products!$A$1:$G$1,0))</f>
        <v>0.2</v>
      </c>
      <c r="L207" s="4">
        <f>INDEX(products!$A$1:$G$49,MATCH(orders!$D207,products!$A$1:$A$49,0),MATCH(orders!L$1,products!$A$1:$G$1,0))</f>
        <v>2.6849999999999996</v>
      </c>
      <c r="M207" s="4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hidden="1" x14ac:dyDescent="0.3">
      <c r="A208" s="2" t="s">
        <v>1648</v>
      </c>
      <c r="B208" s="7">
        <v>44211</v>
      </c>
      <c r="C208" s="2" t="s">
        <v>1649</v>
      </c>
      <c r="D208" t="s">
        <v>6154</v>
      </c>
      <c r="E208" s="2">
        <v>2</v>
      </c>
      <c r="F208" s="2" t="str">
        <f>_xlfn.XLOOKUP(C208,customers!$A$1:$A$1001,customers!$B$1:$B$1001,"",0)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6">
        <f>INDEX(products!$A$1:$G$49,MATCH(orders!$D208,products!$A$1:$A$49,0),MATCH(orders!K$1,products!$A$1:$G$1,0))</f>
        <v>1</v>
      </c>
      <c r="L208" s="4">
        <f>INDEX(products!$A$1:$G$49,MATCH(orders!$D208,products!$A$1:$A$49,0),MATCH(orders!L$1,products!$A$1:$G$1,0))</f>
        <v>11.25</v>
      </c>
      <c r="M208" s="4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hidden="1" x14ac:dyDescent="0.3">
      <c r="A209" s="2" t="s">
        <v>1653</v>
      </c>
      <c r="B209" s="7">
        <v>44207</v>
      </c>
      <c r="C209" s="2" t="s">
        <v>1654</v>
      </c>
      <c r="D209" t="s">
        <v>6156</v>
      </c>
      <c r="E209" s="2">
        <v>6</v>
      </c>
      <c r="F209" s="2" t="str">
        <f>_xlfn.XLOOKUP(C209,customers!$A$1:$A$1001,customers!$B$1:$B$1001,"",0)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6">
        <f>INDEX(products!$A$1:$G$49,MATCH(orders!$D209,products!$A$1:$A$49,0),MATCH(orders!K$1,products!$A$1:$G$1,0))</f>
        <v>0.5</v>
      </c>
      <c r="L209" s="4">
        <f>INDEX(products!$A$1:$G$49,MATCH(orders!$D209,products!$A$1:$A$49,0),MATCH(orders!L$1,products!$A$1:$G$1,0))</f>
        <v>6.75</v>
      </c>
      <c r="M209" s="4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3">
      <c r="A210" s="2" t="s">
        <v>1659</v>
      </c>
      <c r="B210" s="7">
        <v>44659</v>
      </c>
      <c r="C210" s="2" t="s">
        <v>1660</v>
      </c>
      <c r="D210" t="s">
        <v>6143</v>
      </c>
      <c r="E210" s="2">
        <v>4</v>
      </c>
      <c r="F210" s="2" t="str">
        <f>_xlfn.XLOOKUP(C210,customers!$A$1:$A$1001,customers!$B$1:$B$1001,"",0)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6">
        <f>INDEX(products!$A$1:$G$49,MATCH(orders!$D210,products!$A$1:$A$49,0),MATCH(orders!K$1,products!$A$1:$G$1,0))</f>
        <v>0.5</v>
      </c>
      <c r="L210" s="4">
        <f>INDEX(products!$A$1:$G$49,MATCH(orders!$D210,products!$A$1:$A$49,0),MATCH(orders!L$1,products!$A$1:$G$1,0))</f>
        <v>7.29</v>
      </c>
      <c r="M210" s="4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hidden="1" x14ac:dyDescent="0.3">
      <c r="A211" s="2" t="s">
        <v>1665</v>
      </c>
      <c r="B211" s="7">
        <v>44105</v>
      </c>
      <c r="C211" s="2" t="s">
        <v>1666</v>
      </c>
      <c r="D211" t="s">
        <v>6156</v>
      </c>
      <c r="E211" s="2">
        <v>1</v>
      </c>
      <c r="F211" s="2" t="str">
        <f>_xlfn.XLOOKUP(C211,customers!$A$1:$A$1001,customers!$B$1:$B$1001,"",0)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6">
        <f>INDEX(products!$A$1:$G$49,MATCH(orders!$D211,products!$A$1:$A$49,0),MATCH(orders!K$1,products!$A$1:$G$1,0))</f>
        <v>0.5</v>
      </c>
      <c r="L211" s="4">
        <f>INDEX(products!$A$1:$G$49,MATCH(orders!$D211,products!$A$1:$A$49,0),MATCH(orders!L$1,products!$A$1:$G$1,0))</f>
        <v>6.75</v>
      </c>
      <c r="M211" s="4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hidden="1" x14ac:dyDescent="0.3">
      <c r="A212" s="2" t="s">
        <v>1671</v>
      </c>
      <c r="B212" s="7">
        <v>43766</v>
      </c>
      <c r="C212" s="2" t="s">
        <v>1672</v>
      </c>
      <c r="D212" t="s">
        <v>6142</v>
      </c>
      <c r="E212" s="2">
        <v>4</v>
      </c>
      <c r="F212" s="2" t="str">
        <f>_xlfn.XLOOKUP(C212,customers!$A$1:$A$1001,customers!$B$1:$B$1001,"",0)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6">
        <f>INDEX(products!$A$1:$G$49,MATCH(orders!$D212,products!$A$1:$A$49,0),MATCH(orders!K$1,products!$A$1:$G$1,0))</f>
        <v>1</v>
      </c>
      <c r="L212" s="4">
        <f>INDEX(products!$A$1:$G$49,MATCH(orders!$D212,products!$A$1:$A$49,0),MATCH(orders!L$1,products!$A$1:$G$1,0))</f>
        <v>12.95</v>
      </c>
      <c r="M212" s="4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hidden="1" x14ac:dyDescent="0.3">
      <c r="A213" s="2" t="s">
        <v>1677</v>
      </c>
      <c r="B213" s="7">
        <v>44283</v>
      </c>
      <c r="C213" s="2" t="s">
        <v>1678</v>
      </c>
      <c r="D213" t="s">
        <v>6175</v>
      </c>
      <c r="E213" s="2">
        <v>6</v>
      </c>
      <c r="F213" s="2" t="str">
        <f>_xlfn.XLOOKUP(C213,customers!$A$1:$A$1001,customers!$B$1:$B$1001,"",0)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6">
        <f>INDEX(products!$A$1:$G$49,MATCH(orders!$D213,products!$A$1:$A$49,0),MATCH(orders!K$1,products!$A$1:$G$1,0))</f>
        <v>0.5</v>
      </c>
      <c r="L213" s="4">
        <f>INDEX(products!$A$1:$G$49,MATCH(orders!$D213,products!$A$1:$A$49,0),MATCH(orders!L$1,products!$A$1:$G$1,0))</f>
        <v>8.91</v>
      </c>
      <c r="M213" s="4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hidden="1" x14ac:dyDescent="0.3">
      <c r="A214" s="2" t="s">
        <v>1682</v>
      </c>
      <c r="B214" s="7">
        <v>43921</v>
      </c>
      <c r="C214" s="2" t="s">
        <v>1683</v>
      </c>
      <c r="D214" t="s">
        <v>6152</v>
      </c>
      <c r="E214" s="2">
        <v>4</v>
      </c>
      <c r="F214" s="2" t="str">
        <f>_xlfn.XLOOKUP(C214,customers!$A$1:$A$1001,customers!$B$1:$B$1001,"",0)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6">
        <f>INDEX(products!$A$1:$G$49,MATCH(orders!$D214,products!$A$1:$A$49,0),MATCH(orders!K$1,products!$A$1:$G$1,0))</f>
        <v>0.2</v>
      </c>
      <c r="L214" s="4">
        <f>INDEX(products!$A$1:$G$49,MATCH(orders!$D214,products!$A$1:$A$49,0),MATCH(orders!L$1,products!$A$1:$G$1,0))</f>
        <v>3.645</v>
      </c>
      <c r="M214" s="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3">
      <c r="A215" s="2" t="s">
        <v>1688</v>
      </c>
      <c r="B215" s="7">
        <v>44646</v>
      </c>
      <c r="C215" s="2" t="s">
        <v>1689</v>
      </c>
      <c r="D215" t="s">
        <v>6148</v>
      </c>
      <c r="E215" s="2">
        <v>1</v>
      </c>
      <c r="F215" s="2" t="str">
        <f>_xlfn.XLOOKUP(C215,customers!$A$1:$A$1001,customers!$B$1:$B$1001,"",0)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6">
        <f>INDEX(products!$A$1:$G$49,MATCH(orders!$D215,products!$A$1:$A$49,0),MATCH(orders!K$1,products!$A$1:$G$1,0))</f>
        <v>2.5</v>
      </c>
      <c r="L215" s="4">
        <f>INDEX(products!$A$1:$G$49,MATCH(orders!$D215,products!$A$1:$A$49,0),MATCH(orders!L$1,products!$A$1:$G$1,0))</f>
        <v>20.584999999999997</v>
      </c>
      <c r="M215" s="4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hidden="1" x14ac:dyDescent="0.3">
      <c r="A216" s="2" t="s">
        <v>1694</v>
      </c>
      <c r="B216" s="7">
        <v>43775</v>
      </c>
      <c r="C216" s="2" t="s">
        <v>1695</v>
      </c>
      <c r="D216" t="s">
        <v>6169</v>
      </c>
      <c r="E216" s="2">
        <v>2</v>
      </c>
      <c r="F216" s="2" t="str">
        <f>_xlfn.XLOOKUP(C216,customers!$A$1:$A$1001,customers!$B$1:$B$1001,"",0)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6">
        <f>INDEX(products!$A$1:$G$49,MATCH(orders!$D216,products!$A$1:$A$49,0),MATCH(orders!K$1,products!$A$1:$G$1,0))</f>
        <v>1</v>
      </c>
      <c r="L216" s="4">
        <f>INDEX(products!$A$1:$G$49,MATCH(orders!$D216,products!$A$1:$A$49,0),MATCH(orders!L$1,products!$A$1:$G$1,0))</f>
        <v>15.85</v>
      </c>
      <c r="M216" s="4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hidden="1" x14ac:dyDescent="0.3">
      <c r="A217" s="2" t="s">
        <v>1701</v>
      </c>
      <c r="B217" s="7">
        <v>43829</v>
      </c>
      <c r="C217" s="2" t="s">
        <v>1702</v>
      </c>
      <c r="D217" t="s">
        <v>6149</v>
      </c>
      <c r="E217" s="2">
        <v>6</v>
      </c>
      <c r="F217" s="2" t="str">
        <f>_xlfn.XLOOKUP(C217,customers!$A$1:$A$1001,customers!$B$1:$B$1001,"",0)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6">
        <f>INDEX(products!$A$1:$G$49,MATCH(orders!$D217,products!$A$1:$A$49,0),MATCH(orders!K$1,products!$A$1:$G$1,0))</f>
        <v>0.2</v>
      </c>
      <c r="L217" s="4">
        <f>INDEX(products!$A$1:$G$49,MATCH(orders!$D217,products!$A$1:$A$49,0),MATCH(orders!L$1,products!$A$1:$G$1,0))</f>
        <v>3.8849999999999998</v>
      </c>
      <c r="M217" s="4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hidden="1" x14ac:dyDescent="0.3">
      <c r="A218" s="2" t="s">
        <v>1707</v>
      </c>
      <c r="B218" s="7">
        <v>44470</v>
      </c>
      <c r="C218" s="2" t="s">
        <v>1708</v>
      </c>
      <c r="D218" t="s">
        <v>6161</v>
      </c>
      <c r="E218" s="2">
        <v>4</v>
      </c>
      <c r="F218" s="2" t="str">
        <f>_xlfn.XLOOKUP(C218,customers!$A$1:$A$1001,customers!$B$1:$B$1001,"",0)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6">
        <f>INDEX(products!$A$1:$G$49,MATCH(orders!$D218,products!$A$1:$A$49,0),MATCH(orders!K$1,products!$A$1:$G$1,0))</f>
        <v>1</v>
      </c>
      <c r="L218" s="4">
        <f>INDEX(products!$A$1:$G$49,MATCH(orders!$D218,products!$A$1:$A$49,0),MATCH(orders!L$1,products!$A$1:$G$1,0))</f>
        <v>14.55</v>
      </c>
      <c r="M218" s="4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hidden="1" x14ac:dyDescent="0.3">
      <c r="A219" s="2" t="s">
        <v>1713</v>
      </c>
      <c r="B219" s="7">
        <v>44174</v>
      </c>
      <c r="C219" s="2" t="s">
        <v>1714</v>
      </c>
      <c r="D219" t="s">
        <v>6175</v>
      </c>
      <c r="E219" s="2">
        <v>4</v>
      </c>
      <c r="F219" s="2" t="str">
        <f>_xlfn.XLOOKUP(C219,customers!$A$1:$A$1001,customers!$B$1:$B$1001,"",0)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6">
        <f>INDEX(products!$A$1:$G$49,MATCH(orders!$D219,products!$A$1:$A$49,0),MATCH(orders!K$1,products!$A$1:$G$1,0))</f>
        <v>0.5</v>
      </c>
      <c r="L219" s="4">
        <f>INDEX(products!$A$1:$G$49,MATCH(orders!$D219,products!$A$1:$A$49,0),MATCH(orders!L$1,products!$A$1:$G$1,0))</f>
        <v>8.91</v>
      </c>
      <c r="M219" s="4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hidden="1" x14ac:dyDescent="0.3">
      <c r="A220" s="2" t="s">
        <v>1719</v>
      </c>
      <c r="B220" s="7">
        <v>44317</v>
      </c>
      <c r="C220" s="2" t="s">
        <v>1720</v>
      </c>
      <c r="D220" t="s">
        <v>6154</v>
      </c>
      <c r="E220" s="2">
        <v>5</v>
      </c>
      <c r="F220" s="2" t="str">
        <f>_xlfn.XLOOKUP(C220,customers!$A$1:$A$1001,customers!$B$1:$B$1001,"",0)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6">
        <f>INDEX(products!$A$1:$G$49,MATCH(orders!$D220,products!$A$1:$A$49,0),MATCH(orders!K$1,products!$A$1:$G$1,0))</f>
        <v>1</v>
      </c>
      <c r="L220" s="4">
        <f>INDEX(products!$A$1:$G$49,MATCH(orders!$D220,products!$A$1:$A$49,0),MATCH(orders!L$1,products!$A$1:$G$1,0))</f>
        <v>11.25</v>
      </c>
      <c r="M220" s="4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3">
      <c r="A221" s="2" t="s">
        <v>1725</v>
      </c>
      <c r="B221" s="7">
        <v>44777</v>
      </c>
      <c r="C221" s="2" t="s">
        <v>1726</v>
      </c>
      <c r="D221" t="s">
        <v>6177</v>
      </c>
      <c r="E221" s="2">
        <v>3</v>
      </c>
      <c r="F221" s="2" t="str">
        <f>_xlfn.XLOOKUP(C221,customers!$A$1:$A$1001,customers!$B$1:$B$1001,"",0)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6">
        <f>INDEX(products!$A$1:$G$49,MATCH(orders!$D221,products!$A$1:$A$49,0),MATCH(orders!K$1,products!$A$1:$G$1,0))</f>
        <v>0.2</v>
      </c>
      <c r="L221" s="4">
        <f>INDEX(products!$A$1:$G$49,MATCH(orders!$D221,products!$A$1:$A$49,0),MATCH(orders!L$1,products!$A$1:$G$1,0))</f>
        <v>3.5849999999999995</v>
      </c>
      <c r="M221" s="4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3">
      <c r="A222" s="2" t="s">
        <v>1725</v>
      </c>
      <c r="B222" s="7">
        <v>44777</v>
      </c>
      <c r="C222" s="2" t="s">
        <v>1726</v>
      </c>
      <c r="D222" t="s">
        <v>6173</v>
      </c>
      <c r="E222" s="2">
        <v>5</v>
      </c>
      <c r="F222" s="2" t="str">
        <f>_xlfn.XLOOKUP(C222,customers!$A$1:$A$1001,customers!$B$1:$B$1001,"",0)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6">
        <f>INDEX(products!$A$1:$G$49,MATCH(orders!$D222,products!$A$1:$A$49,0),MATCH(orders!K$1,products!$A$1:$G$1,0))</f>
        <v>0.2</v>
      </c>
      <c r="L222" s="4">
        <f>INDEX(products!$A$1:$G$49,MATCH(orders!$D222,products!$A$1:$A$49,0),MATCH(orders!L$1,products!$A$1:$G$1,0))</f>
        <v>2.9849999999999999</v>
      </c>
      <c r="M222" s="4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hidden="1" x14ac:dyDescent="0.3">
      <c r="A223" s="2" t="s">
        <v>1736</v>
      </c>
      <c r="B223" s="7">
        <v>44513</v>
      </c>
      <c r="C223" s="2" t="s">
        <v>1737</v>
      </c>
      <c r="D223" t="s">
        <v>6139</v>
      </c>
      <c r="E223" s="2">
        <v>6</v>
      </c>
      <c r="F223" s="2" t="str">
        <f>_xlfn.XLOOKUP(C223,customers!$A$1:$A$1001,customers!$B$1:$B$1001,"",0)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6">
        <f>INDEX(products!$A$1:$G$49,MATCH(orders!$D223,products!$A$1:$A$49,0),MATCH(orders!K$1,products!$A$1:$G$1,0))</f>
        <v>1</v>
      </c>
      <c r="L223" s="4">
        <f>INDEX(products!$A$1:$G$49,MATCH(orders!$D223,products!$A$1:$A$49,0),MATCH(orders!L$1,products!$A$1:$G$1,0))</f>
        <v>12.95</v>
      </c>
      <c r="M223" s="4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hidden="1" x14ac:dyDescent="0.3">
      <c r="A224" s="2" t="s">
        <v>1742</v>
      </c>
      <c r="B224" s="7">
        <v>44090</v>
      </c>
      <c r="C224" s="2" t="s">
        <v>1743</v>
      </c>
      <c r="D224" t="s">
        <v>6168</v>
      </c>
      <c r="E224" s="2">
        <v>3</v>
      </c>
      <c r="F224" s="2" t="str">
        <f>_xlfn.XLOOKUP(C224,customers!$A$1:$A$1001,customers!$B$1:$B$1001,"",0)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6">
        <f>INDEX(products!$A$1:$G$49,MATCH(orders!$D224,products!$A$1:$A$49,0),MATCH(orders!K$1,products!$A$1:$G$1,0))</f>
        <v>0.5</v>
      </c>
      <c r="L224" s="4">
        <f>INDEX(products!$A$1:$G$49,MATCH(orders!$D224,products!$A$1:$A$49,0),MATCH(orders!L$1,products!$A$1:$G$1,0))</f>
        <v>7.77</v>
      </c>
      <c r="M224" s="4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hidden="1" x14ac:dyDescent="0.3">
      <c r="A225" s="2" t="s">
        <v>1748</v>
      </c>
      <c r="B225" s="7">
        <v>44109</v>
      </c>
      <c r="C225" s="2" t="s">
        <v>1749</v>
      </c>
      <c r="D225" t="s">
        <v>6170</v>
      </c>
      <c r="E225" s="2">
        <v>4</v>
      </c>
      <c r="F225" s="2" t="str">
        <f>_xlfn.XLOOKUP(C225,customers!$A$1:$A$1001,customers!$B$1:$B$1001,"",0)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6">
        <f>INDEX(products!$A$1:$G$49,MATCH(orders!$D225,products!$A$1:$A$49,0),MATCH(orders!K$1,products!$A$1:$G$1,0))</f>
        <v>1</v>
      </c>
      <c r="L225" s="4">
        <f>INDEX(products!$A$1:$G$49,MATCH(orders!$D225,products!$A$1:$A$49,0),MATCH(orders!L$1,products!$A$1:$G$1,0))</f>
        <v>14.85</v>
      </c>
      <c r="M225" s="4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hidden="1" x14ac:dyDescent="0.3">
      <c r="A226" s="2" t="s">
        <v>1753</v>
      </c>
      <c r="B226" s="7">
        <v>43836</v>
      </c>
      <c r="C226" s="2" t="s">
        <v>1754</v>
      </c>
      <c r="D226" t="s">
        <v>6164</v>
      </c>
      <c r="E226" s="2">
        <v>4</v>
      </c>
      <c r="F226" s="2" t="str">
        <f>_xlfn.XLOOKUP(C226,customers!$A$1:$A$1001,customers!$B$1:$B$1001,"",0)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6">
        <f>INDEX(products!$A$1:$G$49,MATCH(orders!$D226,products!$A$1:$A$49,0),MATCH(orders!K$1,products!$A$1:$G$1,0))</f>
        <v>2.5</v>
      </c>
      <c r="L226" s="4">
        <f>INDEX(products!$A$1:$G$49,MATCH(orders!$D226,products!$A$1:$A$49,0),MATCH(orders!L$1,products!$A$1:$G$1,0))</f>
        <v>29.784999999999997</v>
      </c>
      <c r="M226" s="4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hidden="1" x14ac:dyDescent="0.3">
      <c r="A227" s="2" t="s">
        <v>1759</v>
      </c>
      <c r="B227" s="7">
        <v>44337</v>
      </c>
      <c r="C227" s="2" t="s">
        <v>1760</v>
      </c>
      <c r="D227" t="s">
        <v>6177</v>
      </c>
      <c r="E227" s="2">
        <v>4</v>
      </c>
      <c r="F227" s="2" t="str">
        <f>_xlfn.XLOOKUP(C227,customers!$A$1:$A$1001,customers!$B$1:$B$1001,"",0)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6">
        <f>INDEX(products!$A$1:$G$49,MATCH(orders!$D227,products!$A$1:$A$49,0),MATCH(orders!K$1,products!$A$1:$G$1,0))</f>
        <v>0.2</v>
      </c>
      <c r="L227" s="4">
        <f>INDEX(products!$A$1:$G$49,MATCH(orders!$D227,products!$A$1:$A$49,0),MATCH(orders!L$1,products!$A$1:$G$1,0))</f>
        <v>3.5849999999999995</v>
      </c>
      <c r="M227" s="4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hidden="1" x14ac:dyDescent="0.3">
      <c r="A228" s="2" t="s">
        <v>1765</v>
      </c>
      <c r="B228" s="7">
        <v>43887</v>
      </c>
      <c r="C228" s="2" t="s">
        <v>1766</v>
      </c>
      <c r="D228" t="s">
        <v>6174</v>
      </c>
      <c r="E228" s="2">
        <v>5</v>
      </c>
      <c r="F228" s="2" t="str">
        <f>_xlfn.XLOOKUP(C228,customers!$A$1:$A$1001,customers!$B$1:$B$1001,"",0)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6">
        <f>INDEX(products!$A$1:$G$49,MATCH(orders!$D228,products!$A$1:$A$49,0),MATCH(orders!K$1,products!$A$1:$G$1,0))</f>
        <v>2.5</v>
      </c>
      <c r="L228" s="4">
        <f>INDEX(products!$A$1:$G$49,MATCH(orders!$D228,products!$A$1:$A$49,0),MATCH(orders!L$1,products!$A$1:$G$1,0))</f>
        <v>25.874999999999996</v>
      </c>
      <c r="M228" s="4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hidden="1" x14ac:dyDescent="0.3">
      <c r="A229" s="2" t="s">
        <v>1771</v>
      </c>
      <c r="B229" s="7">
        <v>43880</v>
      </c>
      <c r="C229" s="2" t="s">
        <v>1772</v>
      </c>
      <c r="D229" t="s">
        <v>6162</v>
      </c>
      <c r="E229" s="2">
        <v>6</v>
      </c>
      <c r="F229" s="2" t="str">
        <f>_xlfn.XLOOKUP(C229,customers!$A$1:$A$1001,customers!$B$1:$B$1001,"",0)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6">
        <f>INDEX(products!$A$1:$G$49,MATCH(orders!$D229,products!$A$1:$A$49,0),MATCH(orders!K$1,products!$A$1:$G$1,0))</f>
        <v>0.2</v>
      </c>
      <c r="L229" s="4">
        <f>INDEX(products!$A$1:$G$49,MATCH(orders!$D229,products!$A$1:$A$49,0),MATCH(orders!L$1,products!$A$1:$G$1,0))</f>
        <v>2.6849999999999996</v>
      </c>
      <c r="M229" s="4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hidden="1" x14ac:dyDescent="0.3">
      <c r="A230" s="2" t="s">
        <v>1777</v>
      </c>
      <c r="B230" s="7">
        <v>44376</v>
      </c>
      <c r="C230" s="2" t="s">
        <v>1778</v>
      </c>
      <c r="D230" t="s">
        <v>6177</v>
      </c>
      <c r="E230" s="2">
        <v>5</v>
      </c>
      <c r="F230" s="2" t="str">
        <f>_xlfn.XLOOKUP(C230,customers!$A$1:$A$1001,customers!$B$1:$B$1001,"",0)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6">
        <f>INDEX(products!$A$1:$G$49,MATCH(orders!$D230,products!$A$1:$A$49,0),MATCH(orders!K$1,products!$A$1:$G$1,0))</f>
        <v>0.2</v>
      </c>
      <c r="L230" s="4">
        <f>INDEX(products!$A$1:$G$49,MATCH(orders!$D230,products!$A$1:$A$49,0),MATCH(orders!L$1,products!$A$1:$G$1,0))</f>
        <v>3.5849999999999995</v>
      </c>
      <c r="M230" s="4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hidden="1" x14ac:dyDescent="0.3">
      <c r="A231" s="2" t="s">
        <v>1783</v>
      </c>
      <c r="B231" s="7">
        <v>44282</v>
      </c>
      <c r="C231" s="2" t="s">
        <v>1784</v>
      </c>
      <c r="D231" t="s">
        <v>6158</v>
      </c>
      <c r="E231" s="2">
        <v>2</v>
      </c>
      <c r="F231" s="2" t="str">
        <f>_xlfn.XLOOKUP(C231,customers!$A$1:$A$1001,customers!$B$1:$B$1001,"",0)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6">
        <f>INDEX(products!$A$1:$G$49,MATCH(orders!$D231,products!$A$1:$A$49,0),MATCH(orders!K$1,products!$A$1:$G$1,0))</f>
        <v>0.2</v>
      </c>
      <c r="L231" s="4">
        <f>INDEX(products!$A$1:$G$49,MATCH(orders!$D231,products!$A$1:$A$49,0),MATCH(orders!L$1,products!$A$1:$G$1,0))</f>
        <v>4.3650000000000002</v>
      </c>
      <c r="M231" s="4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hidden="1" x14ac:dyDescent="0.3">
      <c r="A232" s="2" t="s">
        <v>1789</v>
      </c>
      <c r="B232" s="7">
        <v>44496</v>
      </c>
      <c r="C232" s="2" t="s">
        <v>1790</v>
      </c>
      <c r="D232" t="s">
        <v>6174</v>
      </c>
      <c r="E232" s="2">
        <v>2</v>
      </c>
      <c r="F232" s="2" t="str">
        <f>_xlfn.XLOOKUP(C232,customers!$A$1:$A$1001,customers!$B$1:$B$1001,"",0)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6">
        <f>INDEX(products!$A$1:$G$49,MATCH(orders!$D232,products!$A$1:$A$49,0),MATCH(orders!K$1,products!$A$1:$G$1,0))</f>
        <v>2.5</v>
      </c>
      <c r="L232" s="4">
        <f>INDEX(products!$A$1:$G$49,MATCH(orders!$D232,products!$A$1:$A$49,0),MATCH(orders!L$1,products!$A$1:$G$1,0))</f>
        <v>25.874999999999996</v>
      </c>
      <c r="M232" s="4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hidden="1" x14ac:dyDescent="0.3">
      <c r="A233" s="2" t="s">
        <v>1795</v>
      </c>
      <c r="B233" s="7">
        <v>43628</v>
      </c>
      <c r="C233" s="2" t="s">
        <v>1796</v>
      </c>
      <c r="D233" t="s">
        <v>6158</v>
      </c>
      <c r="E233" s="2">
        <v>2</v>
      </c>
      <c r="F233" s="2" t="str">
        <f>_xlfn.XLOOKUP(C233,customers!$A$1:$A$1001,customers!$B$1:$B$1001,"",0)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6">
        <f>INDEX(products!$A$1:$G$49,MATCH(orders!$D233,products!$A$1:$A$49,0),MATCH(orders!K$1,products!$A$1:$G$1,0))</f>
        <v>0.2</v>
      </c>
      <c r="L233" s="4">
        <f>INDEX(products!$A$1:$G$49,MATCH(orders!$D233,products!$A$1:$A$49,0),MATCH(orders!L$1,products!$A$1:$G$1,0))</f>
        <v>4.3650000000000002</v>
      </c>
      <c r="M233" s="4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hidden="1" x14ac:dyDescent="0.3">
      <c r="A234" s="2" t="s">
        <v>1800</v>
      </c>
      <c r="B234" s="7">
        <v>44010</v>
      </c>
      <c r="C234" s="2" t="s">
        <v>1801</v>
      </c>
      <c r="D234" t="s">
        <v>6144</v>
      </c>
      <c r="E234" s="2">
        <v>5</v>
      </c>
      <c r="F234" s="2" t="str">
        <f>_xlfn.XLOOKUP(C234,customers!$A$1:$A$1001,customers!$B$1:$B$1001,"",0)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6">
        <f>INDEX(products!$A$1:$G$49,MATCH(orders!$D234,products!$A$1:$A$49,0),MATCH(orders!K$1,products!$A$1:$G$1,0))</f>
        <v>0.2</v>
      </c>
      <c r="L234" s="4">
        <f>INDEX(products!$A$1:$G$49,MATCH(orders!$D234,products!$A$1:$A$49,0),MATCH(orders!L$1,products!$A$1:$G$1,0))</f>
        <v>4.7549999999999999</v>
      </c>
      <c r="M234" s="4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hidden="1" x14ac:dyDescent="0.3">
      <c r="A235" s="2" t="s">
        <v>1806</v>
      </c>
      <c r="B235" s="7">
        <v>44278</v>
      </c>
      <c r="C235" s="2" t="s">
        <v>1807</v>
      </c>
      <c r="D235" t="s">
        <v>6155</v>
      </c>
      <c r="E235" s="2">
        <v>5</v>
      </c>
      <c r="F235" s="2" t="str">
        <f>_xlfn.XLOOKUP(C235,customers!$A$1:$A$1001,customers!$B$1:$B$1001,"",0)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6">
        <f>INDEX(products!$A$1:$G$49,MATCH(orders!$D235,products!$A$1:$A$49,0),MATCH(orders!K$1,products!$A$1:$G$1,0))</f>
        <v>0.2</v>
      </c>
      <c r="L235" s="4">
        <f>INDEX(products!$A$1:$G$49,MATCH(orders!$D235,products!$A$1:$A$49,0),MATCH(orders!L$1,products!$A$1:$G$1,0))</f>
        <v>4.125</v>
      </c>
      <c r="M235" s="4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3">
      <c r="A236" s="2" t="s">
        <v>1812</v>
      </c>
      <c r="B236" s="7">
        <v>44602</v>
      </c>
      <c r="C236" s="2" t="s">
        <v>1813</v>
      </c>
      <c r="D236" t="s">
        <v>6163</v>
      </c>
      <c r="E236" s="2">
        <v>1</v>
      </c>
      <c r="F236" s="2" t="str">
        <f>_xlfn.XLOOKUP(C236,customers!$A$1:$A$1001,customers!$B$1:$B$1001,"",0)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6">
        <f>INDEX(products!$A$1:$G$49,MATCH(orders!$D236,products!$A$1:$A$49,0),MATCH(orders!K$1,products!$A$1:$G$1,0))</f>
        <v>2.5</v>
      </c>
      <c r="L236" s="4">
        <f>INDEX(products!$A$1:$G$49,MATCH(orders!$D236,products!$A$1:$A$49,0),MATCH(orders!L$1,products!$A$1:$G$1,0))</f>
        <v>36.454999999999998</v>
      </c>
      <c r="M236" s="4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hidden="1" x14ac:dyDescent="0.3">
      <c r="A237" s="2" t="s">
        <v>1818</v>
      </c>
      <c r="B237" s="7">
        <v>43571</v>
      </c>
      <c r="C237" s="2" t="s">
        <v>1819</v>
      </c>
      <c r="D237" t="s">
        <v>6163</v>
      </c>
      <c r="E237" s="2">
        <v>5</v>
      </c>
      <c r="F237" s="2" t="str">
        <f>_xlfn.XLOOKUP(C237,customers!$A$1:$A$1001,customers!$B$1:$B$1001,"",0)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6">
        <f>INDEX(products!$A$1:$G$49,MATCH(orders!$D237,products!$A$1:$A$49,0),MATCH(orders!K$1,products!$A$1:$G$1,0))</f>
        <v>2.5</v>
      </c>
      <c r="L237" s="4">
        <f>INDEX(products!$A$1:$G$49,MATCH(orders!$D237,products!$A$1:$A$49,0),MATCH(orders!L$1,products!$A$1:$G$1,0))</f>
        <v>36.454999999999998</v>
      </c>
      <c r="M237" s="4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hidden="1" x14ac:dyDescent="0.3">
      <c r="A238" s="2" t="s">
        <v>1822</v>
      </c>
      <c r="B238" s="7">
        <v>43873</v>
      </c>
      <c r="C238" s="2" t="s">
        <v>1823</v>
      </c>
      <c r="D238" t="s">
        <v>6164</v>
      </c>
      <c r="E238" s="2">
        <v>3</v>
      </c>
      <c r="F238" s="2" t="str">
        <f>_xlfn.XLOOKUP(C238,customers!$A$1:$A$1001,customers!$B$1:$B$1001,"",0)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6">
        <f>INDEX(products!$A$1:$G$49,MATCH(orders!$D238,products!$A$1:$A$49,0),MATCH(orders!K$1,products!$A$1:$G$1,0))</f>
        <v>2.5</v>
      </c>
      <c r="L238" s="4">
        <f>INDEX(products!$A$1:$G$49,MATCH(orders!$D238,products!$A$1:$A$49,0),MATCH(orders!L$1,products!$A$1:$G$1,0))</f>
        <v>29.784999999999997</v>
      </c>
      <c r="M238" s="4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3">
      <c r="A239" s="2" t="s">
        <v>1828</v>
      </c>
      <c r="B239" s="7">
        <v>44563</v>
      </c>
      <c r="C239" s="2" t="s">
        <v>1829</v>
      </c>
      <c r="D239" t="s">
        <v>6177</v>
      </c>
      <c r="E239" s="2">
        <v>1</v>
      </c>
      <c r="F239" s="2" t="str">
        <f>_xlfn.XLOOKUP(C239,customers!$A$1:$A$1001,customers!$B$1:$B$1001,"",0)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6">
        <f>INDEX(products!$A$1:$G$49,MATCH(orders!$D239,products!$A$1:$A$49,0),MATCH(orders!K$1,products!$A$1:$G$1,0))</f>
        <v>0.2</v>
      </c>
      <c r="L239" s="4">
        <f>INDEX(products!$A$1:$G$49,MATCH(orders!$D239,products!$A$1:$A$49,0),MATCH(orders!L$1,products!$A$1:$G$1,0))</f>
        <v>3.5849999999999995</v>
      </c>
      <c r="M239" s="4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hidden="1" x14ac:dyDescent="0.3">
      <c r="A240" s="2" t="s">
        <v>1833</v>
      </c>
      <c r="B240" s="7">
        <v>44172</v>
      </c>
      <c r="C240" s="2" t="s">
        <v>1834</v>
      </c>
      <c r="D240" t="s">
        <v>6150</v>
      </c>
      <c r="E240" s="2">
        <v>2</v>
      </c>
      <c r="F240" s="2" t="str">
        <f>_xlfn.XLOOKUP(C240,customers!$A$1:$A$1001,customers!$B$1:$B$1001,"",0)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6">
        <f>INDEX(products!$A$1:$G$49,MATCH(orders!$D240,products!$A$1:$A$49,0),MATCH(orders!K$1,products!$A$1:$G$1,0))</f>
        <v>2.5</v>
      </c>
      <c r="L240" s="4">
        <f>INDEX(products!$A$1:$G$49,MATCH(orders!$D240,products!$A$1:$A$49,0),MATCH(orders!L$1,products!$A$1:$G$1,0))</f>
        <v>22.884999999999998</v>
      </c>
      <c r="M240" s="4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hidden="1" x14ac:dyDescent="0.3">
      <c r="A241" s="2" t="s">
        <v>1839</v>
      </c>
      <c r="B241" s="7">
        <v>43881</v>
      </c>
      <c r="C241" s="2" t="s">
        <v>1840</v>
      </c>
      <c r="D241" t="s">
        <v>6170</v>
      </c>
      <c r="E241" s="2">
        <v>4</v>
      </c>
      <c r="F241" s="2" t="str">
        <f>_xlfn.XLOOKUP(C241,customers!$A$1:$A$1001,customers!$B$1:$B$1001,"",0)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6">
        <f>INDEX(products!$A$1:$G$49,MATCH(orders!$D241,products!$A$1:$A$49,0),MATCH(orders!K$1,products!$A$1:$G$1,0))</f>
        <v>1</v>
      </c>
      <c r="L241" s="4">
        <f>INDEX(products!$A$1:$G$49,MATCH(orders!$D241,products!$A$1:$A$49,0),MATCH(orders!L$1,products!$A$1:$G$1,0))</f>
        <v>14.85</v>
      </c>
      <c r="M241" s="4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hidden="1" x14ac:dyDescent="0.3">
      <c r="A242" s="2" t="s">
        <v>1845</v>
      </c>
      <c r="B242" s="7">
        <v>43993</v>
      </c>
      <c r="C242" s="2" t="s">
        <v>1846</v>
      </c>
      <c r="D242" t="s">
        <v>6174</v>
      </c>
      <c r="E242" s="2">
        <v>6</v>
      </c>
      <c r="F242" s="2" t="str">
        <f>_xlfn.XLOOKUP(C242,customers!$A$1:$A$1001,customers!$B$1:$B$1001,"",0)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6">
        <f>INDEX(products!$A$1:$G$49,MATCH(orders!$D242,products!$A$1:$A$49,0),MATCH(orders!K$1,products!$A$1:$G$1,0))</f>
        <v>2.5</v>
      </c>
      <c r="L242" s="4">
        <f>INDEX(products!$A$1:$G$49,MATCH(orders!$D242,products!$A$1:$A$49,0),MATCH(orders!L$1,products!$A$1:$G$1,0))</f>
        <v>25.874999999999996</v>
      </c>
      <c r="M242" s="4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hidden="1" x14ac:dyDescent="0.3">
      <c r="A243" s="2" t="s">
        <v>1849</v>
      </c>
      <c r="B243" s="7">
        <v>44082</v>
      </c>
      <c r="C243" s="2" t="s">
        <v>1850</v>
      </c>
      <c r="D243" t="s">
        <v>6150</v>
      </c>
      <c r="E243" s="2">
        <v>2</v>
      </c>
      <c r="F243" s="2" t="str">
        <f>_xlfn.XLOOKUP(C243,customers!$A$1:$A$1001,customers!$B$1:$B$1001,"",0)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6">
        <f>INDEX(products!$A$1:$G$49,MATCH(orders!$D243,products!$A$1:$A$49,0),MATCH(orders!K$1,products!$A$1:$G$1,0))</f>
        <v>2.5</v>
      </c>
      <c r="L243" s="4">
        <f>INDEX(products!$A$1:$G$49,MATCH(orders!$D243,products!$A$1:$A$49,0),MATCH(orders!L$1,products!$A$1:$G$1,0))</f>
        <v>22.884999999999998</v>
      </c>
      <c r="M243" s="4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hidden="1" x14ac:dyDescent="0.3">
      <c r="A244" s="2" t="s">
        <v>1854</v>
      </c>
      <c r="B244" s="7">
        <v>43918</v>
      </c>
      <c r="C244" s="2" t="s">
        <v>1855</v>
      </c>
      <c r="D244" t="s">
        <v>6182</v>
      </c>
      <c r="E244" s="2">
        <v>3</v>
      </c>
      <c r="F244" s="2" t="str">
        <f>_xlfn.XLOOKUP(C244,customers!$A$1:$A$1001,customers!$B$1:$B$1001,"",0)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6">
        <f>INDEX(products!$A$1:$G$49,MATCH(orders!$D244,products!$A$1:$A$49,0),MATCH(orders!K$1,products!$A$1:$G$1,0))</f>
        <v>1</v>
      </c>
      <c r="L244" s="4">
        <f>INDEX(products!$A$1:$G$49,MATCH(orders!$D244,products!$A$1:$A$49,0),MATCH(orders!L$1,products!$A$1:$G$1,0))</f>
        <v>12.15</v>
      </c>
      <c r="M244" s="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hidden="1" x14ac:dyDescent="0.3">
      <c r="A245" s="2" t="s">
        <v>1860</v>
      </c>
      <c r="B245" s="7">
        <v>44114</v>
      </c>
      <c r="C245" s="2" t="s">
        <v>1861</v>
      </c>
      <c r="D245" t="s">
        <v>6143</v>
      </c>
      <c r="E245" s="2">
        <v>4</v>
      </c>
      <c r="F245" s="2" t="str">
        <f>_xlfn.XLOOKUP(C245,customers!$A$1:$A$1001,customers!$B$1:$B$1001,"",0)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6">
        <f>INDEX(products!$A$1:$G$49,MATCH(orders!$D245,products!$A$1:$A$49,0),MATCH(orders!K$1,products!$A$1:$G$1,0))</f>
        <v>0.5</v>
      </c>
      <c r="L245" s="4">
        <f>INDEX(products!$A$1:$G$49,MATCH(orders!$D245,products!$A$1:$A$49,0),MATCH(orders!L$1,products!$A$1:$G$1,0))</f>
        <v>7.29</v>
      </c>
      <c r="M245" s="4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3">
      <c r="A246" s="2" t="s">
        <v>1866</v>
      </c>
      <c r="B246" s="7">
        <v>44702</v>
      </c>
      <c r="C246" s="2" t="s">
        <v>1867</v>
      </c>
      <c r="D246" t="s">
        <v>6180</v>
      </c>
      <c r="E246" s="2">
        <v>4</v>
      </c>
      <c r="F246" s="2" t="str">
        <f>_xlfn.XLOOKUP(C246,customers!$A$1:$A$1001,customers!$B$1:$B$1001,"",0)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6">
        <f>INDEX(products!$A$1:$G$49,MATCH(orders!$D246,products!$A$1:$A$49,0),MATCH(orders!K$1,products!$A$1:$G$1,0))</f>
        <v>2.5</v>
      </c>
      <c r="L246" s="4">
        <f>INDEX(products!$A$1:$G$49,MATCH(orders!$D246,products!$A$1:$A$49,0),MATCH(orders!L$1,products!$A$1:$G$1,0))</f>
        <v>33.464999999999996</v>
      </c>
      <c r="M246" s="4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hidden="1" x14ac:dyDescent="0.3">
      <c r="A247" s="2" t="s">
        <v>1872</v>
      </c>
      <c r="B247" s="7">
        <v>43951</v>
      </c>
      <c r="C247" s="2" t="s">
        <v>1873</v>
      </c>
      <c r="D247" t="s">
        <v>6144</v>
      </c>
      <c r="E247" s="2">
        <v>5</v>
      </c>
      <c r="F247" s="2" t="str">
        <f>_xlfn.XLOOKUP(C247,customers!$A$1:$A$1001,customers!$B$1:$B$1001,"",0)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6">
        <f>INDEX(products!$A$1:$G$49,MATCH(orders!$D247,products!$A$1:$A$49,0),MATCH(orders!K$1,products!$A$1:$G$1,0))</f>
        <v>0.2</v>
      </c>
      <c r="L247" s="4">
        <f>INDEX(products!$A$1:$G$49,MATCH(orders!$D247,products!$A$1:$A$49,0),MATCH(orders!L$1,products!$A$1:$G$1,0))</f>
        <v>4.7549999999999999</v>
      </c>
      <c r="M247" s="4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hidden="1" x14ac:dyDescent="0.3">
      <c r="A248" s="2" t="s">
        <v>1878</v>
      </c>
      <c r="B248" s="7">
        <v>44542</v>
      </c>
      <c r="C248" s="2" t="s">
        <v>1879</v>
      </c>
      <c r="D248" t="s">
        <v>6142</v>
      </c>
      <c r="E248" s="2">
        <v>3</v>
      </c>
      <c r="F248" s="2" t="str">
        <f>_xlfn.XLOOKUP(C248,customers!$A$1:$A$1001,customers!$B$1:$B$1001,"",0)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6">
        <f>INDEX(products!$A$1:$G$49,MATCH(orders!$D248,products!$A$1:$A$49,0),MATCH(orders!K$1,products!$A$1:$G$1,0))</f>
        <v>1</v>
      </c>
      <c r="L248" s="4">
        <f>INDEX(products!$A$1:$G$49,MATCH(orders!$D248,products!$A$1:$A$49,0),MATCH(orders!L$1,products!$A$1:$G$1,0))</f>
        <v>12.95</v>
      </c>
      <c r="M248" s="4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hidden="1" x14ac:dyDescent="0.3">
      <c r="A249" s="2" t="s">
        <v>1884</v>
      </c>
      <c r="B249" s="7">
        <v>44131</v>
      </c>
      <c r="C249" s="2" t="s">
        <v>1885</v>
      </c>
      <c r="D249" t="s">
        <v>6177</v>
      </c>
      <c r="E249" s="2">
        <v>6</v>
      </c>
      <c r="F249" s="2" t="str">
        <f>_xlfn.XLOOKUP(C249,customers!$A$1:$A$1001,customers!$B$1:$B$1001,"",0)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6">
        <f>INDEX(products!$A$1:$G$49,MATCH(orders!$D249,products!$A$1:$A$49,0),MATCH(orders!K$1,products!$A$1:$G$1,0))</f>
        <v>0.2</v>
      </c>
      <c r="L249" s="4">
        <f>INDEX(products!$A$1:$G$49,MATCH(orders!$D249,products!$A$1:$A$49,0),MATCH(orders!L$1,products!$A$1:$G$1,0))</f>
        <v>3.5849999999999995</v>
      </c>
      <c r="M249" s="4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hidden="1" x14ac:dyDescent="0.3">
      <c r="A250" s="2" t="s">
        <v>1889</v>
      </c>
      <c r="B250" s="7">
        <v>44019</v>
      </c>
      <c r="C250" s="2" t="s">
        <v>1890</v>
      </c>
      <c r="D250" t="s">
        <v>6146</v>
      </c>
      <c r="E250" s="2">
        <v>1</v>
      </c>
      <c r="F250" s="2" t="str">
        <f>_xlfn.XLOOKUP(C250,customers!$A$1:$A$1001,customers!$B$1:$B$1001,"",0)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6">
        <f>INDEX(products!$A$1:$G$49,MATCH(orders!$D250,products!$A$1:$A$49,0),MATCH(orders!K$1,products!$A$1:$G$1,0))</f>
        <v>1</v>
      </c>
      <c r="L250" s="4">
        <f>INDEX(products!$A$1:$G$49,MATCH(orders!$D250,products!$A$1:$A$49,0),MATCH(orders!L$1,products!$A$1:$G$1,0))</f>
        <v>9.9499999999999993</v>
      </c>
      <c r="M250" s="4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hidden="1" x14ac:dyDescent="0.3">
      <c r="A251" s="2" t="s">
        <v>1895</v>
      </c>
      <c r="B251" s="7">
        <v>43861</v>
      </c>
      <c r="C251" s="2" t="s">
        <v>1935</v>
      </c>
      <c r="D251" t="s">
        <v>6169</v>
      </c>
      <c r="E251" s="2">
        <v>1</v>
      </c>
      <c r="F251" s="2" t="str">
        <f>_xlfn.XLOOKUP(C251,customers!$A$1:$A$1001,customers!$B$1:$B$1001,"",0)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6">
        <f>INDEX(products!$A$1:$G$49,MATCH(orders!$D251,products!$A$1:$A$49,0),MATCH(orders!K$1,products!$A$1:$G$1,0))</f>
        <v>1</v>
      </c>
      <c r="L251" s="4">
        <f>INDEX(products!$A$1:$G$49,MATCH(orders!$D251,products!$A$1:$A$49,0),MATCH(orders!L$1,products!$A$1:$G$1,0))</f>
        <v>15.85</v>
      </c>
      <c r="M251" s="4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hidden="1" x14ac:dyDescent="0.3">
      <c r="A252" s="2" t="s">
        <v>1900</v>
      </c>
      <c r="B252" s="7">
        <v>43879</v>
      </c>
      <c r="C252" s="2" t="s">
        <v>1901</v>
      </c>
      <c r="D252" t="s">
        <v>6173</v>
      </c>
      <c r="E252" s="2">
        <v>1</v>
      </c>
      <c r="F252" s="2" t="str">
        <f>_xlfn.XLOOKUP(C252,customers!$A$1:$A$1001,customers!$B$1:$B$1001,"",0)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6">
        <f>INDEX(products!$A$1:$G$49,MATCH(orders!$D252,products!$A$1:$A$49,0),MATCH(orders!K$1,products!$A$1:$G$1,0))</f>
        <v>0.2</v>
      </c>
      <c r="L252" s="4">
        <f>INDEX(products!$A$1:$G$49,MATCH(orders!$D252,products!$A$1:$A$49,0),MATCH(orders!L$1,products!$A$1:$G$1,0))</f>
        <v>2.9849999999999999</v>
      </c>
      <c r="M252" s="4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hidden="1" x14ac:dyDescent="0.3">
      <c r="A253" s="2" t="s">
        <v>1906</v>
      </c>
      <c r="B253" s="7">
        <v>44360</v>
      </c>
      <c r="C253" s="2" t="s">
        <v>1907</v>
      </c>
      <c r="D253" t="s">
        <v>6140</v>
      </c>
      <c r="E253" s="2">
        <v>5</v>
      </c>
      <c r="F253" s="2" t="str">
        <f>_xlfn.XLOOKUP(C253,customers!$A$1:$A$1001,customers!$B$1:$B$1001,"",0)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6">
        <f>INDEX(products!$A$1:$G$49,MATCH(orders!$D253,products!$A$1:$A$49,0),MATCH(orders!K$1,products!$A$1:$G$1,0))</f>
        <v>1</v>
      </c>
      <c r="L253" s="4">
        <f>INDEX(products!$A$1:$G$49,MATCH(orders!$D253,products!$A$1:$A$49,0),MATCH(orders!L$1,products!$A$1:$G$1,0))</f>
        <v>13.75</v>
      </c>
      <c r="M253" s="4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3">
      <c r="A254" s="2" t="s">
        <v>1912</v>
      </c>
      <c r="B254" s="7">
        <v>44779</v>
      </c>
      <c r="C254" s="2" t="s">
        <v>1913</v>
      </c>
      <c r="D254" t="s">
        <v>6146</v>
      </c>
      <c r="E254" s="2">
        <v>3</v>
      </c>
      <c r="F254" s="2" t="str">
        <f>_xlfn.XLOOKUP(C254,customers!$A$1:$A$1001,customers!$B$1:$B$1001,"",0)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6">
        <f>INDEX(products!$A$1:$G$49,MATCH(orders!$D254,products!$A$1:$A$49,0),MATCH(orders!K$1,products!$A$1:$G$1,0))</f>
        <v>1</v>
      </c>
      <c r="L254" s="4">
        <f>INDEX(products!$A$1:$G$49,MATCH(orders!$D254,products!$A$1:$A$49,0),MATCH(orders!L$1,products!$A$1:$G$1,0))</f>
        <v>9.9499999999999993</v>
      </c>
      <c r="M254" s="4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hidden="1" x14ac:dyDescent="0.3">
      <c r="A255" s="2" t="s">
        <v>1917</v>
      </c>
      <c r="B255" s="7">
        <v>44523</v>
      </c>
      <c r="C255" s="2" t="s">
        <v>1918</v>
      </c>
      <c r="D255" t="s">
        <v>6161</v>
      </c>
      <c r="E255" s="2">
        <v>4</v>
      </c>
      <c r="F255" s="2" t="str">
        <f>_xlfn.XLOOKUP(C255,customers!$A$1:$A$1001,customers!$B$1:$B$1001,"",0)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6">
        <f>INDEX(products!$A$1:$G$49,MATCH(orders!$D255,products!$A$1:$A$49,0),MATCH(orders!K$1,products!$A$1:$G$1,0))</f>
        <v>1</v>
      </c>
      <c r="L255" s="4">
        <f>INDEX(products!$A$1:$G$49,MATCH(orders!$D255,products!$A$1:$A$49,0),MATCH(orders!L$1,products!$A$1:$G$1,0))</f>
        <v>14.55</v>
      </c>
      <c r="M255" s="4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hidden="1" x14ac:dyDescent="0.3">
      <c r="A256" s="2" t="s">
        <v>1923</v>
      </c>
      <c r="B256" s="7">
        <v>44482</v>
      </c>
      <c r="C256" s="2" t="s">
        <v>1924</v>
      </c>
      <c r="D256" t="s">
        <v>6172</v>
      </c>
      <c r="E256" s="2">
        <v>4</v>
      </c>
      <c r="F256" s="2" t="str">
        <f>_xlfn.XLOOKUP(C256,customers!$A$1:$A$1001,customers!$B$1:$B$1001,"",0)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6">
        <f>INDEX(products!$A$1:$G$49,MATCH(orders!$D256,products!$A$1:$A$49,0),MATCH(orders!K$1,products!$A$1:$G$1,0))</f>
        <v>0.5</v>
      </c>
      <c r="L256" s="4">
        <f>INDEX(products!$A$1:$G$49,MATCH(orders!$D256,products!$A$1:$A$49,0),MATCH(orders!L$1,products!$A$1:$G$1,0))</f>
        <v>7.169999999999999</v>
      </c>
      <c r="M256" s="4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hidden="1" x14ac:dyDescent="0.3">
      <c r="A257" s="2" t="s">
        <v>1928</v>
      </c>
      <c r="B257" s="7">
        <v>44439</v>
      </c>
      <c r="C257" s="2" t="s">
        <v>1929</v>
      </c>
      <c r="D257" t="s">
        <v>6172</v>
      </c>
      <c r="E257" s="2">
        <v>3</v>
      </c>
      <c r="F257" s="2" t="str">
        <f>_xlfn.XLOOKUP(C257,customers!$A$1:$A$1001,customers!$B$1:$B$1001,"",0)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6">
        <f>INDEX(products!$A$1:$G$49,MATCH(orders!$D257,products!$A$1:$A$49,0),MATCH(orders!K$1,products!$A$1:$G$1,0))</f>
        <v>0.5</v>
      </c>
      <c r="L257" s="4">
        <f>INDEX(products!$A$1:$G$49,MATCH(orders!$D257,products!$A$1:$A$49,0),MATCH(orders!L$1,products!$A$1:$G$1,0))</f>
        <v>7.169999999999999</v>
      </c>
      <c r="M257" s="4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hidden="1" x14ac:dyDescent="0.3">
      <c r="A258" s="2" t="s">
        <v>1934</v>
      </c>
      <c r="B258" s="7">
        <v>43846</v>
      </c>
      <c r="C258" s="2" t="s">
        <v>1935</v>
      </c>
      <c r="D258" t="s">
        <v>6159</v>
      </c>
      <c r="E258" s="2">
        <v>2</v>
      </c>
      <c r="F258" s="2" t="str">
        <f>_xlfn.XLOOKUP(C258,customers!$A$1:$A$1001,customers!$B$1:$B$1001,"",0)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6">
        <f>INDEX(products!$A$1:$G$49,MATCH(orders!$D258,products!$A$1:$A$49,0),MATCH(orders!K$1,products!$A$1:$G$1,0))</f>
        <v>0.5</v>
      </c>
      <c r="L258" s="4">
        <f>INDEX(products!$A$1:$G$49,MATCH(orders!$D258,products!$A$1:$A$49,0),MATCH(orders!L$1,products!$A$1:$G$1,0))</f>
        <v>8.73</v>
      </c>
      <c r="M258" s="4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3">
      <c r="A259" s="2" t="s">
        <v>1940</v>
      </c>
      <c r="B259" s="7">
        <v>44676</v>
      </c>
      <c r="C259" s="2" t="s">
        <v>1941</v>
      </c>
      <c r="D259" t="s">
        <v>6184</v>
      </c>
      <c r="E259" s="2">
        <v>1</v>
      </c>
      <c r="F259" s="2" t="str">
        <f>_xlfn.XLOOKUP(C259,customers!$A$1:$A$1001,customers!$B$1:$B$1001,"",0)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6">
        <f>INDEX(products!$A$1:$G$49,MATCH(orders!$D259,products!$A$1:$A$49,0),MATCH(orders!K$1,products!$A$1:$G$1,0))</f>
        <v>2.5</v>
      </c>
      <c r="L259" s="4">
        <f>INDEX(products!$A$1:$G$49,MATCH(orders!$D259,products!$A$1:$A$49,0),MATCH(orders!L$1,products!$A$1:$G$1,0))</f>
        <v>27.945</v>
      </c>
      <c r="M259" s="4">
        <f t="shared" ref="M259:M322" si="12">E259*L259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hidden="1" x14ac:dyDescent="0.3">
      <c r="A260" s="2" t="s">
        <v>1946</v>
      </c>
      <c r="B260" s="7">
        <v>44513</v>
      </c>
      <c r="C260" s="2" t="s">
        <v>1947</v>
      </c>
      <c r="D260" t="s">
        <v>6184</v>
      </c>
      <c r="E260" s="2">
        <v>5</v>
      </c>
      <c r="F260" s="2" t="str">
        <f>_xlfn.XLOOKUP(C260,customers!$A$1:$A$1001,customers!$B$1:$B$1001,"",0)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6">
        <f>INDEX(products!$A$1:$G$49,MATCH(orders!$D260,products!$A$1:$A$49,0),MATCH(orders!K$1,products!$A$1:$G$1,0))</f>
        <v>2.5</v>
      </c>
      <c r="L260" s="4">
        <f>INDEX(products!$A$1:$G$49,MATCH(orders!$D260,products!$A$1:$A$49,0),MATCH(orders!L$1,products!$A$1:$G$1,0))</f>
        <v>27.945</v>
      </c>
      <c r="M260" s="4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hidden="1" x14ac:dyDescent="0.3">
      <c r="A261" s="2" t="s">
        <v>1952</v>
      </c>
      <c r="B261" s="7">
        <v>44355</v>
      </c>
      <c r="C261" s="2" t="s">
        <v>1953</v>
      </c>
      <c r="D261" t="s">
        <v>6173</v>
      </c>
      <c r="E261" s="2">
        <v>2</v>
      </c>
      <c r="F261" s="2" t="str">
        <f>_xlfn.XLOOKUP(C261,customers!$A$1:$A$1001,customers!$B$1:$B$1001,"",0)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6">
        <f>INDEX(products!$A$1:$G$49,MATCH(orders!$D261,products!$A$1:$A$49,0),MATCH(orders!K$1,products!$A$1:$G$1,0))</f>
        <v>0.2</v>
      </c>
      <c r="L261" s="4">
        <f>INDEX(products!$A$1:$G$49,MATCH(orders!$D261,products!$A$1:$A$49,0),MATCH(orders!L$1,products!$A$1:$G$1,0))</f>
        <v>2.9849999999999999</v>
      </c>
      <c r="M261" s="4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hidden="1" x14ac:dyDescent="0.3">
      <c r="A262" s="2" t="s">
        <v>1958</v>
      </c>
      <c r="B262" s="7">
        <v>44156</v>
      </c>
      <c r="C262" s="2" t="s">
        <v>1959</v>
      </c>
      <c r="D262" t="s">
        <v>6141</v>
      </c>
      <c r="E262" s="2">
        <v>1</v>
      </c>
      <c r="F262" s="2" t="str">
        <f>_xlfn.XLOOKUP(C262,customers!$A$1:$A$1001,customers!$B$1:$B$1001,"",0)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6">
        <f>INDEX(products!$A$1:$G$49,MATCH(orders!$D262,products!$A$1:$A$49,0),MATCH(orders!K$1,products!$A$1:$G$1,0))</f>
        <v>2.5</v>
      </c>
      <c r="L262" s="4">
        <f>INDEX(products!$A$1:$G$49,MATCH(orders!$D262,products!$A$1:$A$49,0),MATCH(orders!L$1,products!$A$1:$G$1,0))</f>
        <v>27.484999999999996</v>
      </c>
      <c r="M262" s="4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hidden="1" x14ac:dyDescent="0.3">
      <c r="A263" s="2" t="s">
        <v>1963</v>
      </c>
      <c r="B263" s="7">
        <v>43538</v>
      </c>
      <c r="C263" s="2" t="s">
        <v>1964</v>
      </c>
      <c r="D263" t="s">
        <v>6178</v>
      </c>
      <c r="E263" s="2">
        <v>5</v>
      </c>
      <c r="F263" s="2" t="str">
        <f>_xlfn.XLOOKUP(C263,customers!$A$1:$A$1001,customers!$B$1:$B$1001,"",0)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6">
        <f>INDEX(products!$A$1:$G$49,MATCH(orders!$D263,products!$A$1:$A$49,0),MATCH(orders!K$1,products!$A$1:$G$1,0))</f>
        <v>1</v>
      </c>
      <c r="L263" s="4">
        <f>INDEX(products!$A$1:$G$49,MATCH(orders!$D263,products!$A$1:$A$49,0),MATCH(orders!L$1,products!$A$1:$G$1,0))</f>
        <v>11.95</v>
      </c>
      <c r="M263" s="4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hidden="1" x14ac:dyDescent="0.3">
      <c r="A264" s="2" t="s">
        <v>1969</v>
      </c>
      <c r="B264" s="7">
        <v>43693</v>
      </c>
      <c r="C264" s="2" t="s">
        <v>1970</v>
      </c>
      <c r="D264" t="s">
        <v>6140</v>
      </c>
      <c r="E264" s="2">
        <v>3</v>
      </c>
      <c r="F264" s="2" t="str">
        <f>_xlfn.XLOOKUP(C264,customers!$A$1:$A$1001,customers!$B$1:$B$1001,"",0)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6">
        <f>INDEX(products!$A$1:$G$49,MATCH(orders!$D264,products!$A$1:$A$49,0),MATCH(orders!K$1,products!$A$1:$G$1,0))</f>
        <v>1</v>
      </c>
      <c r="L264" s="4">
        <f>INDEX(products!$A$1:$G$49,MATCH(orders!$D264,products!$A$1:$A$49,0),MATCH(orders!L$1,products!$A$1:$G$1,0))</f>
        <v>13.75</v>
      </c>
      <c r="M264" s="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hidden="1" x14ac:dyDescent="0.3">
      <c r="A265" s="2" t="s">
        <v>1975</v>
      </c>
      <c r="B265" s="7">
        <v>43577</v>
      </c>
      <c r="C265" s="2" t="s">
        <v>1976</v>
      </c>
      <c r="D265" t="s">
        <v>6180</v>
      </c>
      <c r="E265" s="2">
        <v>4</v>
      </c>
      <c r="F265" s="2" t="str">
        <f>_xlfn.XLOOKUP(C265,customers!$A$1:$A$1001,customers!$B$1:$B$1001,"",0)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6">
        <f>INDEX(products!$A$1:$G$49,MATCH(orders!$D265,products!$A$1:$A$49,0),MATCH(orders!K$1,products!$A$1:$G$1,0))</f>
        <v>2.5</v>
      </c>
      <c r="L265" s="4">
        <f>INDEX(products!$A$1:$G$49,MATCH(orders!$D265,products!$A$1:$A$49,0),MATCH(orders!L$1,products!$A$1:$G$1,0))</f>
        <v>33.464999999999996</v>
      </c>
      <c r="M265" s="4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3">
      <c r="A266" s="2" t="s">
        <v>1980</v>
      </c>
      <c r="B266" s="7">
        <v>44683</v>
      </c>
      <c r="C266" s="2" t="s">
        <v>1981</v>
      </c>
      <c r="D266" t="s">
        <v>6178</v>
      </c>
      <c r="E266" s="2">
        <v>5</v>
      </c>
      <c r="F266" s="2" t="str">
        <f>_xlfn.XLOOKUP(C266,customers!$A$1:$A$1001,customers!$B$1:$B$1001,"",0)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6">
        <f>INDEX(products!$A$1:$G$49,MATCH(orders!$D266,products!$A$1:$A$49,0),MATCH(orders!K$1,products!$A$1:$G$1,0))</f>
        <v>1</v>
      </c>
      <c r="L266" s="4">
        <f>INDEX(products!$A$1:$G$49,MATCH(orders!$D266,products!$A$1:$A$49,0),MATCH(orders!L$1,products!$A$1:$G$1,0))</f>
        <v>11.95</v>
      </c>
      <c r="M266" s="4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hidden="1" x14ac:dyDescent="0.3">
      <c r="A267" s="2" t="s">
        <v>1986</v>
      </c>
      <c r="B267" s="7">
        <v>43872</v>
      </c>
      <c r="C267" s="2" t="s">
        <v>1987</v>
      </c>
      <c r="D267" t="s">
        <v>6157</v>
      </c>
      <c r="E267" s="2">
        <v>1</v>
      </c>
      <c r="F267" s="2" t="str">
        <f>_xlfn.XLOOKUP(C267,customers!$A$1:$A$1001,customers!$B$1:$B$1001,"",0)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6">
        <f>INDEX(products!$A$1:$G$49,MATCH(orders!$D267,products!$A$1:$A$49,0),MATCH(orders!K$1,products!$A$1:$G$1,0))</f>
        <v>0.5</v>
      </c>
      <c r="L267" s="4">
        <f>INDEX(products!$A$1:$G$49,MATCH(orders!$D267,products!$A$1:$A$49,0),MATCH(orders!L$1,products!$A$1:$G$1,0))</f>
        <v>5.97</v>
      </c>
      <c r="M267" s="4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hidden="1" x14ac:dyDescent="0.3">
      <c r="A268" s="2" t="s">
        <v>1992</v>
      </c>
      <c r="B268" s="7">
        <v>44283</v>
      </c>
      <c r="C268" s="2" t="s">
        <v>1993</v>
      </c>
      <c r="D268" t="s">
        <v>6182</v>
      </c>
      <c r="E268" s="2">
        <v>2</v>
      </c>
      <c r="F268" s="2" t="str">
        <f>_xlfn.XLOOKUP(C268,customers!$A$1:$A$1001,customers!$B$1:$B$1001,"",0)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6">
        <f>INDEX(products!$A$1:$G$49,MATCH(orders!$D268,products!$A$1:$A$49,0),MATCH(orders!K$1,products!$A$1:$G$1,0))</f>
        <v>1</v>
      </c>
      <c r="L268" s="4">
        <f>INDEX(products!$A$1:$G$49,MATCH(orders!$D268,products!$A$1:$A$49,0),MATCH(orders!L$1,products!$A$1:$G$1,0))</f>
        <v>12.15</v>
      </c>
      <c r="M268" s="4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hidden="1" x14ac:dyDescent="0.3">
      <c r="A269" s="2" t="s">
        <v>1998</v>
      </c>
      <c r="B269" s="7">
        <v>44324</v>
      </c>
      <c r="C269" s="2" t="s">
        <v>1999</v>
      </c>
      <c r="D269" t="s">
        <v>6152</v>
      </c>
      <c r="E269" s="2">
        <v>6</v>
      </c>
      <c r="F269" s="2" t="str">
        <f>_xlfn.XLOOKUP(C269,customers!$A$1:$A$1001,customers!$B$1:$B$1001,"",0)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6">
        <f>INDEX(products!$A$1:$G$49,MATCH(orders!$D269,products!$A$1:$A$49,0),MATCH(orders!K$1,products!$A$1:$G$1,0))</f>
        <v>0.2</v>
      </c>
      <c r="L269" s="4">
        <f>INDEX(products!$A$1:$G$49,MATCH(orders!$D269,products!$A$1:$A$49,0),MATCH(orders!L$1,products!$A$1:$G$1,0))</f>
        <v>3.645</v>
      </c>
      <c r="M269" s="4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hidden="1" x14ac:dyDescent="0.3">
      <c r="A270" s="2" t="s">
        <v>2004</v>
      </c>
      <c r="B270" s="7">
        <v>43790</v>
      </c>
      <c r="C270" s="2" t="s">
        <v>1672</v>
      </c>
      <c r="D270" t="s">
        <v>6146</v>
      </c>
      <c r="E270" s="2">
        <v>2</v>
      </c>
      <c r="F270" s="2" t="str">
        <f>_xlfn.XLOOKUP(C270,customers!$A$1:$A$1001,customers!$B$1:$B$1001,"",0)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6">
        <f>INDEX(products!$A$1:$G$49,MATCH(orders!$D270,products!$A$1:$A$49,0),MATCH(orders!K$1,products!$A$1:$G$1,0))</f>
        <v>1</v>
      </c>
      <c r="L270" s="4">
        <f>INDEX(products!$A$1:$G$49,MATCH(orders!$D270,products!$A$1:$A$49,0),MATCH(orders!L$1,products!$A$1:$G$1,0))</f>
        <v>9.9499999999999993</v>
      </c>
      <c r="M270" s="4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hidden="1" x14ac:dyDescent="0.3">
      <c r="A271" s="2" t="s">
        <v>2009</v>
      </c>
      <c r="B271" s="7">
        <v>44333</v>
      </c>
      <c r="C271" s="2" t="s">
        <v>2010</v>
      </c>
      <c r="D271" t="s">
        <v>6153</v>
      </c>
      <c r="E271" s="2">
        <v>2</v>
      </c>
      <c r="F271" s="2" t="str">
        <f>_xlfn.XLOOKUP(C271,customers!$A$1:$A$1001,customers!$B$1:$B$1001,"",0)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6">
        <f>INDEX(products!$A$1:$G$49,MATCH(orders!$D271,products!$A$1:$A$49,0),MATCH(orders!K$1,products!$A$1:$G$1,0))</f>
        <v>0.2</v>
      </c>
      <c r="L271" s="4">
        <f>INDEX(products!$A$1:$G$49,MATCH(orders!$D271,products!$A$1:$A$49,0),MATCH(orders!L$1,products!$A$1:$G$1,0))</f>
        <v>2.9849999999999999</v>
      </c>
      <c r="M271" s="4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hidden="1" x14ac:dyDescent="0.3">
      <c r="A272" s="2" t="s">
        <v>2015</v>
      </c>
      <c r="B272" s="7">
        <v>43655</v>
      </c>
      <c r="C272" s="2" t="s">
        <v>2016</v>
      </c>
      <c r="D272" t="s">
        <v>6143</v>
      </c>
      <c r="E272" s="2">
        <v>1</v>
      </c>
      <c r="F272" s="2" t="str">
        <f>_xlfn.XLOOKUP(C272,customers!$A$1:$A$1001,customers!$B$1:$B$1001,"",0)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6">
        <f>INDEX(products!$A$1:$G$49,MATCH(orders!$D272,products!$A$1:$A$49,0),MATCH(orders!K$1,products!$A$1:$G$1,0))</f>
        <v>0.5</v>
      </c>
      <c r="L272" s="4">
        <f>INDEX(products!$A$1:$G$49,MATCH(orders!$D272,products!$A$1:$A$49,0),MATCH(orders!L$1,products!$A$1:$G$1,0))</f>
        <v>7.29</v>
      </c>
      <c r="M272" s="4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hidden="1" x14ac:dyDescent="0.3">
      <c r="A273" s="2" t="s">
        <v>2019</v>
      </c>
      <c r="B273" s="7">
        <v>43971</v>
      </c>
      <c r="C273" s="2" t="s">
        <v>2020</v>
      </c>
      <c r="D273" t="s">
        <v>6153</v>
      </c>
      <c r="E273" s="2">
        <v>4</v>
      </c>
      <c r="F273" s="2" t="str">
        <f>_xlfn.XLOOKUP(C273,customers!$A$1:$A$1001,customers!$B$1:$B$1001,"",0)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6">
        <f>INDEX(products!$A$1:$G$49,MATCH(orders!$D273,products!$A$1:$A$49,0),MATCH(orders!K$1,products!$A$1:$G$1,0))</f>
        <v>0.2</v>
      </c>
      <c r="L273" s="4">
        <f>INDEX(products!$A$1:$G$49,MATCH(orders!$D273,products!$A$1:$A$49,0),MATCH(orders!L$1,products!$A$1:$G$1,0))</f>
        <v>2.9849999999999999</v>
      </c>
      <c r="M273" s="4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hidden="1" x14ac:dyDescent="0.3">
      <c r="A274" s="2" t="s">
        <v>2025</v>
      </c>
      <c r="B274" s="7">
        <v>44435</v>
      </c>
      <c r="C274" s="2" t="s">
        <v>2026</v>
      </c>
      <c r="D274" t="s">
        <v>6178</v>
      </c>
      <c r="E274" s="2">
        <v>6</v>
      </c>
      <c r="F274" s="2" t="str">
        <f>_xlfn.XLOOKUP(C274,customers!$A$1:$A$1001,customers!$B$1:$B$1001,"",0)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6">
        <f>INDEX(products!$A$1:$G$49,MATCH(orders!$D274,products!$A$1:$A$49,0),MATCH(orders!K$1,products!$A$1:$G$1,0))</f>
        <v>1</v>
      </c>
      <c r="L274" s="4">
        <f>INDEX(products!$A$1:$G$49,MATCH(orders!$D274,products!$A$1:$A$49,0),MATCH(orders!L$1,products!$A$1:$G$1,0))</f>
        <v>11.95</v>
      </c>
      <c r="M274" s="4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3">
      <c r="A275" s="2" t="s">
        <v>2032</v>
      </c>
      <c r="B275" s="7">
        <v>44681</v>
      </c>
      <c r="C275" s="2" t="s">
        <v>2033</v>
      </c>
      <c r="D275" t="s">
        <v>6166</v>
      </c>
      <c r="E275" s="2">
        <v>2</v>
      </c>
      <c r="F275" s="2" t="str">
        <f>_xlfn.XLOOKUP(C275,customers!$A$1:$A$1001,customers!$B$1:$B$1001,"",0)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6">
        <f>INDEX(products!$A$1:$G$49,MATCH(orders!$D275,products!$A$1:$A$49,0),MATCH(orders!K$1,products!$A$1:$G$1,0))</f>
        <v>0.2</v>
      </c>
      <c r="L275" s="4">
        <f>INDEX(products!$A$1:$G$49,MATCH(orders!$D275,products!$A$1:$A$49,0),MATCH(orders!L$1,products!$A$1:$G$1,0))</f>
        <v>3.8849999999999998</v>
      </c>
      <c r="M275" s="4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hidden="1" x14ac:dyDescent="0.3">
      <c r="A276" s="2" t="s">
        <v>2038</v>
      </c>
      <c r="B276" s="7">
        <v>43985</v>
      </c>
      <c r="C276" s="2" t="s">
        <v>2039</v>
      </c>
      <c r="D276" t="s">
        <v>6174</v>
      </c>
      <c r="E276" s="2">
        <v>1</v>
      </c>
      <c r="F276" s="2" t="str">
        <f>_xlfn.XLOOKUP(C276,customers!$A$1:$A$1001,customers!$B$1:$B$1001,"",0)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6">
        <f>INDEX(products!$A$1:$G$49,MATCH(orders!$D276,products!$A$1:$A$49,0),MATCH(orders!K$1,products!$A$1:$G$1,0))</f>
        <v>2.5</v>
      </c>
      <c r="L276" s="4">
        <f>INDEX(products!$A$1:$G$49,MATCH(orders!$D276,products!$A$1:$A$49,0),MATCH(orders!L$1,products!$A$1:$G$1,0))</f>
        <v>25.874999999999996</v>
      </c>
      <c r="M276" s="4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3">
      <c r="A277" s="2" t="s">
        <v>2044</v>
      </c>
      <c r="B277" s="7">
        <v>44725</v>
      </c>
      <c r="C277" s="2" t="s">
        <v>2045</v>
      </c>
      <c r="D277" t="s">
        <v>6147</v>
      </c>
      <c r="E277" s="2">
        <v>6</v>
      </c>
      <c r="F277" s="2" t="str">
        <f>_xlfn.XLOOKUP(C277,customers!$A$1:$A$1001,customers!$B$1:$B$1001,"",0)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6">
        <f>INDEX(products!$A$1:$G$49,MATCH(orders!$D277,products!$A$1:$A$49,0),MATCH(orders!K$1,products!$A$1:$G$1,0))</f>
        <v>2.5</v>
      </c>
      <c r="L277" s="4">
        <f>INDEX(products!$A$1:$G$49,MATCH(orders!$D277,products!$A$1:$A$49,0),MATCH(orders!L$1,products!$A$1:$G$1,0))</f>
        <v>34.154999999999994</v>
      </c>
      <c r="M277" s="4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hidden="1" x14ac:dyDescent="0.3">
      <c r="A278" s="2" t="s">
        <v>2050</v>
      </c>
      <c r="B278" s="7">
        <v>43992</v>
      </c>
      <c r="C278" s="2" t="s">
        <v>2051</v>
      </c>
      <c r="D278" t="s">
        <v>6141</v>
      </c>
      <c r="E278" s="2">
        <v>4</v>
      </c>
      <c r="F278" s="2" t="str">
        <f>_xlfn.XLOOKUP(C278,customers!$A$1:$A$1001,customers!$B$1:$B$1001,"",0)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6">
        <f>INDEX(products!$A$1:$G$49,MATCH(orders!$D278,products!$A$1:$A$49,0),MATCH(orders!K$1,products!$A$1:$G$1,0))</f>
        <v>2.5</v>
      </c>
      <c r="L278" s="4">
        <f>INDEX(products!$A$1:$G$49,MATCH(orders!$D278,products!$A$1:$A$49,0),MATCH(orders!L$1,products!$A$1:$G$1,0))</f>
        <v>27.484999999999996</v>
      </c>
      <c r="M278" s="4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hidden="1" x14ac:dyDescent="0.3">
      <c r="A279" s="2" t="s">
        <v>2056</v>
      </c>
      <c r="B279" s="7">
        <v>44183</v>
      </c>
      <c r="C279" s="2" t="s">
        <v>2057</v>
      </c>
      <c r="D279" t="s">
        <v>6170</v>
      </c>
      <c r="E279" s="2">
        <v>6</v>
      </c>
      <c r="F279" s="2" t="str">
        <f>_xlfn.XLOOKUP(C279,customers!$A$1:$A$1001,customers!$B$1:$B$1001,"",0)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6">
        <f>INDEX(products!$A$1:$G$49,MATCH(orders!$D279,products!$A$1:$A$49,0),MATCH(orders!K$1,products!$A$1:$G$1,0))</f>
        <v>1</v>
      </c>
      <c r="L279" s="4">
        <f>INDEX(products!$A$1:$G$49,MATCH(orders!$D279,products!$A$1:$A$49,0),MATCH(orders!L$1,products!$A$1:$G$1,0))</f>
        <v>14.85</v>
      </c>
      <c r="M279" s="4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hidden="1" x14ac:dyDescent="0.3">
      <c r="A280" s="2" t="s">
        <v>2062</v>
      </c>
      <c r="B280" s="7">
        <v>43708</v>
      </c>
      <c r="C280" s="2" t="s">
        <v>2063</v>
      </c>
      <c r="D280" t="s">
        <v>6166</v>
      </c>
      <c r="E280" s="2">
        <v>2</v>
      </c>
      <c r="F280" s="2" t="str">
        <f>_xlfn.XLOOKUP(C280,customers!$A$1:$A$1001,customers!$B$1:$B$1001,"",0)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6">
        <f>INDEX(products!$A$1:$G$49,MATCH(orders!$D280,products!$A$1:$A$49,0),MATCH(orders!K$1,products!$A$1:$G$1,0))</f>
        <v>0.2</v>
      </c>
      <c r="L280" s="4">
        <f>INDEX(products!$A$1:$G$49,MATCH(orders!$D280,products!$A$1:$A$49,0),MATCH(orders!L$1,products!$A$1:$G$1,0))</f>
        <v>3.8849999999999998</v>
      </c>
      <c r="M280" s="4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hidden="1" x14ac:dyDescent="0.3">
      <c r="A281" s="2" t="s">
        <v>2068</v>
      </c>
      <c r="B281" s="7">
        <v>43521</v>
      </c>
      <c r="C281" s="2" t="s">
        <v>2069</v>
      </c>
      <c r="D281" t="s">
        <v>6180</v>
      </c>
      <c r="E281" s="2">
        <v>1</v>
      </c>
      <c r="F281" s="2" t="str">
        <f>_xlfn.XLOOKUP(C281,customers!$A$1:$A$1001,customers!$B$1:$B$1001,"",0)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6">
        <f>INDEX(products!$A$1:$G$49,MATCH(orders!$D281,products!$A$1:$A$49,0),MATCH(orders!K$1,products!$A$1:$G$1,0))</f>
        <v>2.5</v>
      </c>
      <c r="L281" s="4">
        <f>INDEX(products!$A$1:$G$49,MATCH(orders!$D281,products!$A$1:$A$49,0),MATCH(orders!L$1,products!$A$1:$G$1,0))</f>
        <v>33.464999999999996</v>
      </c>
      <c r="M281" s="4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hidden="1" x14ac:dyDescent="0.3">
      <c r="A282" s="2" t="s">
        <v>2074</v>
      </c>
      <c r="B282" s="7">
        <v>44234</v>
      </c>
      <c r="C282" s="2" t="s">
        <v>2075</v>
      </c>
      <c r="D282" t="s">
        <v>6138</v>
      </c>
      <c r="E282" s="2">
        <v>5</v>
      </c>
      <c r="F282" s="2" t="str">
        <f>_xlfn.XLOOKUP(C282,customers!$A$1:$A$1001,customers!$B$1:$B$1001,"",0)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6">
        <f>INDEX(products!$A$1:$G$49,MATCH(orders!$D282,products!$A$1:$A$49,0),MATCH(orders!K$1,products!$A$1:$G$1,0))</f>
        <v>0.5</v>
      </c>
      <c r="L282" s="4">
        <f>INDEX(products!$A$1:$G$49,MATCH(orders!$D282,products!$A$1:$A$49,0),MATCH(orders!L$1,products!$A$1:$G$1,0))</f>
        <v>8.25</v>
      </c>
      <c r="M282" s="4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hidden="1" x14ac:dyDescent="0.3">
      <c r="A283" s="2" t="s">
        <v>2079</v>
      </c>
      <c r="B283" s="7">
        <v>44210</v>
      </c>
      <c r="C283" s="2" t="s">
        <v>2080</v>
      </c>
      <c r="D283" t="s">
        <v>6170</v>
      </c>
      <c r="E283" s="2">
        <v>4</v>
      </c>
      <c r="F283" s="2" t="str">
        <f>_xlfn.XLOOKUP(C283,customers!$A$1:$A$1001,customers!$B$1:$B$1001,"",0)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6">
        <f>INDEX(products!$A$1:$G$49,MATCH(orders!$D283,products!$A$1:$A$49,0),MATCH(orders!K$1,products!$A$1:$G$1,0))</f>
        <v>1</v>
      </c>
      <c r="L283" s="4">
        <f>INDEX(products!$A$1:$G$49,MATCH(orders!$D283,products!$A$1:$A$49,0),MATCH(orders!L$1,products!$A$1:$G$1,0))</f>
        <v>14.85</v>
      </c>
      <c r="M283" s="4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hidden="1" x14ac:dyDescent="0.3">
      <c r="A284" s="2" t="s">
        <v>2085</v>
      </c>
      <c r="B284" s="7">
        <v>43520</v>
      </c>
      <c r="C284" s="2" t="s">
        <v>2086</v>
      </c>
      <c r="D284" t="s">
        <v>6179</v>
      </c>
      <c r="E284" s="2">
        <v>1</v>
      </c>
      <c r="F284" s="2" t="str">
        <f>_xlfn.XLOOKUP(C284,customers!$A$1:$A$1001,customers!$B$1:$B$1001,"",0)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6">
        <f>INDEX(products!$A$1:$G$49,MATCH(orders!$D284,products!$A$1:$A$49,0),MATCH(orders!K$1,products!$A$1:$G$1,0))</f>
        <v>0.5</v>
      </c>
      <c r="L284" s="4">
        <f>INDEX(products!$A$1:$G$49,MATCH(orders!$D284,products!$A$1:$A$49,0),MATCH(orders!L$1,products!$A$1:$G$1,0))</f>
        <v>7.77</v>
      </c>
      <c r="M284" s="4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hidden="1" x14ac:dyDescent="0.3">
      <c r="A285" s="2" t="s">
        <v>2091</v>
      </c>
      <c r="B285" s="7">
        <v>43639</v>
      </c>
      <c r="C285" s="2" t="s">
        <v>2092</v>
      </c>
      <c r="D285" t="s">
        <v>6171</v>
      </c>
      <c r="E285" s="2">
        <v>1</v>
      </c>
      <c r="F285" s="2" t="str">
        <f>_xlfn.XLOOKUP(C285,customers!$A$1:$A$1001,customers!$B$1:$B$1001,"",0)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6">
        <f>INDEX(products!$A$1:$G$49,MATCH(orders!$D285,products!$A$1:$A$49,0),MATCH(orders!K$1,products!$A$1:$G$1,0))</f>
        <v>0.5</v>
      </c>
      <c r="L285" s="4">
        <f>INDEX(products!$A$1:$G$49,MATCH(orders!$D285,products!$A$1:$A$49,0),MATCH(orders!L$1,products!$A$1:$G$1,0))</f>
        <v>5.3699999999999992</v>
      </c>
      <c r="M285" s="4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hidden="1" x14ac:dyDescent="0.3">
      <c r="A286" s="2" t="s">
        <v>2097</v>
      </c>
      <c r="B286" s="7">
        <v>43960</v>
      </c>
      <c r="C286" s="2" t="s">
        <v>2098</v>
      </c>
      <c r="D286" t="s">
        <v>6165</v>
      </c>
      <c r="E286" s="2">
        <v>3</v>
      </c>
      <c r="F286" s="2" t="str">
        <f>_xlfn.XLOOKUP(C286,customers!$A$1:$A$1001,customers!$B$1:$B$1001,"",0)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6">
        <f>INDEX(products!$A$1:$G$49,MATCH(orders!$D286,products!$A$1:$A$49,0),MATCH(orders!K$1,products!$A$1:$G$1,0))</f>
        <v>2.5</v>
      </c>
      <c r="L286" s="4">
        <f>INDEX(products!$A$1:$G$49,MATCH(orders!$D286,products!$A$1:$A$49,0),MATCH(orders!L$1,products!$A$1:$G$1,0))</f>
        <v>31.624999999999996</v>
      </c>
      <c r="M286" s="4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hidden="1" x14ac:dyDescent="0.3">
      <c r="A287" s="2" t="s">
        <v>2102</v>
      </c>
      <c r="B287" s="7">
        <v>44030</v>
      </c>
      <c r="C287" s="2" t="s">
        <v>2103</v>
      </c>
      <c r="D287" t="s">
        <v>6163</v>
      </c>
      <c r="E287" s="2">
        <v>1</v>
      </c>
      <c r="F287" s="2" t="str">
        <f>_xlfn.XLOOKUP(C287,customers!$A$1:$A$1001,customers!$B$1:$B$1001,"",0)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6">
        <f>INDEX(products!$A$1:$G$49,MATCH(orders!$D287,products!$A$1:$A$49,0),MATCH(orders!K$1,products!$A$1:$G$1,0))</f>
        <v>2.5</v>
      </c>
      <c r="L287" s="4">
        <f>INDEX(products!$A$1:$G$49,MATCH(orders!$D287,products!$A$1:$A$49,0),MATCH(orders!L$1,products!$A$1:$G$1,0))</f>
        <v>36.454999999999998</v>
      </c>
      <c r="M287" s="4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hidden="1" x14ac:dyDescent="0.3">
      <c r="A288" s="2" t="s">
        <v>2107</v>
      </c>
      <c r="B288" s="7">
        <v>43755</v>
      </c>
      <c r="C288" s="2" t="s">
        <v>2108</v>
      </c>
      <c r="D288" t="s">
        <v>6151</v>
      </c>
      <c r="E288" s="2">
        <v>4</v>
      </c>
      <c r="F288" s="2" t="str">
        <f>_xlfn.XLOOKUP(C288,customers!$A$1:$A$1001,customers!$B$1:$B$1001,"",0)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6">
        <f>INDEX(products!$A$1:$G$49,MATCH(orders!$D288,products!$A$1:$A$49,0),MATCH(orders!K$1,products!$A$1:$G$1,0))</f>
        <v>0.2</v>
      </c>
      <c r="L288" s="4">
        <f>INDEX(products!$A$1:$G$49,MATCH(orders!$D288,products!$A$1:$A$49,0),MATCH(orders!L$1,products!$A$1:$G$1,0))</f>
        <v>3.375</v>
      </c>
      <c r="M288" s="4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3">
      <c r="A289" s="2" t="s">
        <v>2112</v>
      </c>
      <c r="B289" s="7">
        <v>44697</v>
      </c>
      <c r="C289" s="2" t="s">
        <v>2113</v>
      </c>
      <c r="D289" t="s">
        <v>6177</v>
      </c>
      <c r="E289" s="2">
        <v>4</v>
      </c>
      <c r="F289" s="2" t="str">
        <f>_xlfn.XLOOKUP(C289,customers!$A$1:$A$1001,customers!$B$1:$B$1001,"",0)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6">
        <f>INDEX(products!$A$1:$G$49,MATCH(orders!$D289,products!$A$1:$A$49,0),MATCH(orders!K$1,products!$A$1:$G$1,0))</f>
        <v>0.2</v>
      </c>
      <c r="L289" s="4">
        <f>INDEX(products!$A$1:$G$49,MATCH(orders!$D289,products!$A$1:$A$49,0),MATCH(orders!L$1,products!$A$1:$G$1,0))</f>
        <v>3.5849999999999995</v>
      </c>
      <c r="M289" s="4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hidden="1" x14ac:dyDescent="0.3">
      <c r="A290" s="2" t="s">
        <v>2118</v>
      </c>
      <c r="B290" s="7">
        <v>44279</v>
      </c>
      <c r="C290" s="2" t="s">
        <v>2119</v>
      </c>
      <c r="D290" t="s">
        <v>6138</v>
      </c>
      <c r="E290" s="2">
        <v>1</v>
      </c>
      <c r="F290" s="2" t="str">
        <f>_xlfn.XLOOKUP(C290,customers!$A$1:$A$1001,customers!$B$1:$B$1001,"",0)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6">
        <f>INDEX(products!$A$1:$G$49,MATCH(orders!$D290,products!$A$1:$A$49,0),MATCH(orders!K$1,products!$A$1:$G$1,0))</f>
        <v>0.5</v>
      </c>
      <c r="L290" s="4">
        <f>INDEX(products!$A$1:$G$49,MATCH(orders!$D290,products!$A$1:$A$49,0),MATCH(orders!L$1,products!$A$1:$G$1,0))</f>
        <v>8.25</v>
      </c>
      <c r="M290" s="4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hidden="1" x14ac:dyDescent="0.3">
      <c r="A291" s="2" t="s">
        <v>2123</v>
      </c>
      <c r="B291" s="7">
        <v>43772</v>
      </c>
      <c r="C291" s="2" t="s">
        <v>2124</v>
      </c>
      <c r="D291" t="s">
        <v>6162</v>
      </c>
      <c r="E291" s="2">
        <v>5</v>
      </c>
      <c r="F291" s="2" t="str">
        <f>_xlfn.XLOOKUP(C291,customers!$A$1:$A$1001,customers!$B$1:$B$1001,"",0)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6">
        <f>INDEX(products!$A$1:$G$49,MATCH(orders!$D291,products!$A$1:$A$49,0),MATCH(orders!K$1,products!$A$1:$G$1,0))</f>
        <v>0.2</v>
      </c>
      <c r="L291" s="4">
        <f>INDEX(products!$A$1:$G$49,MATCH(orders!$D291,products!$A$1:$A$49,0),MATCH(orders!L$1,products!$A$1:$G$1,0))</f>
        <v>2.6849999999999996</v>
      </c>
      <c r="M291" s="4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hidden="1" x14ac:dyDescent="0.3">
      <c r="A292" s="2" t="s">
        <v>2127</v>
      </c>
      <c r="B292" s="7">
        <v>44497</v>
      </c>
      <c r="C292" s="2" t="s">
        <v>2128</v>
      </c>
      <c r="D292" t="s">
        <v>6146</v>
      </c>
      <c r="E292" s="2">
        <v>5</v>
      </c>
      <c r="F292" s="2" t="str">
        <f>_xlfn.XLOOKUP(C292,customers!$A$1:$A$1001,customers!$B$1:$B$1001,"",0)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6">
        <f>INDEX(products!$A$1:$G$49,MATCH(orders!$D292,products!$A$1:$A$49,0),MATCH(orders!K$1,products!$A$1:$G$1,0))</f>
        <v>1</v>
      </c>
      <c r="L292" s="4">
        <f>INDEX(products!$A$1:$G$49,MATCH(orders!$D292,products!$A$1:$A$49,0),MATCH(orders!L$1,products!$A$1:$G$1,0))</f>
        <v>9.9499999999999993</v>
      </c>
      <c r="M292" s="4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hidden="1" x14ac:dyDescent="0.3">
      <c r="A293" s="2" t="s">
        <v>2133</v>
      </c>
      <c r="B293" s="7">
        <v>44181</v>
      </c>
      <c r="C293" s="2" t="s">
        <v>2134</v>
      </c>
      <c r="D293" t="s">
        <v>6138</v>
      </c>
      <c r="E293" s="2">
        <v>2</v>
      </c>
      <c r="F293" s="2" t="str">
        <f>_xlfn.XLOOKUP(C293,customers!$A$1:$A$1001,customers!$B$1:$B$1001,"",0)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6">
        <f>INDEX(products!$A$1:$G$49,MATCH(orders!$D293,products!$A$1:$A$49,0),MATCH(orders!K$1,products!$A$1:$G$1,0))</f>
        <v>0.5</v>
      </c>
      <c r="L293" s="4">
        <f>INDEX(products!$A$1:$G$49,MATCH(orders!$D293,products!$A$1:$A$49,0),MATCH(orders!L$1,products!$A$1:$G$1,0))</f>
        <v>8.25</v>
      </c>
      <c r="M293" s="4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hidden="1" x14ac:dyDescent="0.3">
      <c r="A294" s="2" t="s">
        <v>2137</v>
      </c>
      <c r="B294" s="7">
        <v>44529</v>
      </c>
      <c r="C294" s="2" t="s">
        <v>2138</v>
      </c>
      <c r="D294" t="s">
        <v>6157</v>
      </c>
      <c r="E294" s="2">
        <v>3</v>
      </c>
      <c r="F294" s="2" t="str">
        <f>_xlfn.XLOOKUP(C294,customers!$A$1:$A$1001,customers!$B$1:$B$1001,"",0)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6">
        <f>INDEX(products!$A$1:$G$49,MATCH(orders!$D294,products!$A$1:$A$49,0),MATCH(orders!K$1,products!$A$1:$G$1,0))</f>
        <v>0.5</v>
      </c>
      <c r="L294" s="4">
        <f>INDEX(products!$A$1:$G$49,MATCH(orders!$D294,products!$A$1:$A$49,0),MATCH(orders!L$1,products!$A$1:$G$1,0))</f>
        <v>5.97</v>
      </c>
      <c r="M294" s="4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hidden="1" x14ac:dyDescent="0.3">
      <c r="A295" s="2" t="s">
        <v>2142</v>
      </c>
      <c r="B295" s="7">
        <v>44275</v>
      </c>
      <c r="C295" s="2" t="s">
        <v>2143</v>
      </c>
      <c r="D295" t="s">
        <v>6157</v>
      </c>
      <c r="E295" s="2">
        <v>5</v>
      </c>
      <c r="F295" s="2" t="str">
        <f>_xlfn.XLOOKUP(C295,customers!$A$1:$A$1001,customers!$B$1:$B$1001,"",0)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6">
        <f>INDEX(products!$A$1:$G$49,MATCH(orders!$D295,products!$A$1:$A$49,0),MATCH(orders!K$1,products!$A$1:$G$1,0))</f>
        <v>0.5</v>
      </c>
      <c r="L295" s="4">
        <f>INDEX(products!$A$1:$G$49,MATCH(orders!$D295,products!$A$1:$A$49,0),MATCH(orders!L$1,products!$A$1:$G$1,0))</f>
        <v>5.97</v>
      </c>
      <c r="M295" s="4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3">
      <c r="A296" s="2" t="s">
        <v>2148</v>
      </c>
      <c r="B296" s="7">
        <v>44659</v>
      </c>
      <c r="C296" s="2" t="s">
        <v>2149</v>
      </c>
      <c r="D296" t="s">
        <v>6170</v>
      </c>
      <c r="E296" s="2">
        <v>3</v>
      </c>
      <c r="F296" s="2" t="str">
        <f>_xlfn.XLOOKUP(C296,customers!$A$1:$A$1001,customers!$B$1:$B$1001,"",0)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6">
        <f>INDEX(products!$A$1:$G$49,MATCH(orders!$D296,products!$A$1:$A$49,0),MATCH(orders!K$1,products!$A$1:$G$1,0))</f>
        <v>1</v>
      </c>
      <c r="L296" s="4">
        <f>INDEX(products!$A$1:$G$49,MATCH(orders!$D296,products!$A$1:$A$49,0),MATCH(orders!L$1,products!$A$1:$G$1,0))</f>
        <v>14.85</v>
      </c>
      <c r="M296" s="4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hidden="1" x14ac:dyDescent="0.3">
      <c r="A297" s="2" t="s">
        <v>2153</v>
      </c>
      <c r="B297" s="7">
        <v>44057</v>
      </c>
      <c r="C297" s="2" t="s">
        <v>2154</v>
      </c>
      <c r="D297" t="s">
        <v>6140</v>
      </c>
      <c r="E297" s="2">
        <v>2</v>
      </c>
      <c r="F297" s="2" t="str">
        <f>_xlfn.XLOOKUP(C297,customers!$A$1:$A$1001,customers!$B$1:$B$1001,"",0)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6">
        <f>INDEX(products!$A$1:$G$49,MATCH(orders!$D297,products!$A$1:$A$49,0),MATCH(orders!K$1,products!$A$1:$G$1,0))</f>
        <v>1</v>
      </c>
      <c r="L297" s="4">
        <f>INDEX(products!$A$1:$G$49,MATCH(orders!$D297,products!$A$1:$A$49,0),MATCH(orders!L$1,products!$A$1:$G$1,0))</f>
        <v>13.75</v>
      </c>
      <c r="M297" s="4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hidden="1" x14ac:dyDescent="0.3">
      <c r="A298" s="2" t="s">
        <v>2157</v>
      </c>
      <c r="B298" s="7">
        <v>43597</v>
      </c>
      <c r="C298" s="2" t="s">
        <v>2158</v>
      </c>
      <c r="D298" t="s">
        <v>6145</v>
      </c>
      <c r="E298" s="2">
        <v>6</v>
      </c>
      <c r="F298" s="2" t="str">
        <f>_xlfn.XLOOKUP(C298,customers!$A$1:$A$1001,customers!$B$1:$B$1001,"",0)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6">
        <f>INDEX(products!$A$1:$G$49,MATCH(orders!$D298,products!$A$1:$A$49,0),MATCH(orders!K$1,products!$A$1:$G$1,0))</f>
        <v>0.5</v>
      </c>
      <c r="L298" s="4">
        <f>INDEX(products!$A$1:$G$49,MATCH(orders!$D298,products!$A$1:$A$49,0),MATCH(orders!L$1,products!$A$1:$G$1,0))</f>
        <v>5.97</v>
      </c>
      <c r="M298" s="4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hidden="1" x14ac:dyDescent="0.3">
      <c r="A299" s="2" t="s">
        <v>2163</v>
      </c>
      <c r="B299" s="7">
        <v>44258</v>
      </c>
      <c r="C299" s="2" t="s">
        <v>2164</v>
      </c>
      <c r="D299" t="s">
        <v>6171</v>
      </c>
      <c r="E299" s="2">
        <v>3</v>
      </c>
      <c r="F299" s="2" t="str">
        <f>_xlfn.XLOOKUP(C299,customers!$A$1:$A$1001,customers!$B$1:$B$1001,"",0)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6">
        <f>INDEX(products!$A$1:$G$49,MATCH(orders!$D299,products!$A$1:$A$49,0),MATCH(orders!K$1,products!$A$1:$G$1,0))</f>
        <v>0.5</v>
      </c>
      <c r="L299" s="4">
        <f>INDEX(products!$A$1:$G$49,MATCH(orders!$D299,products!$A$1:$A$49,0),MATCH(orders!L$1,products!$A$1:$G$1,0))</f>
        <v>5.3699999999999992</v>
      </c>
      <c r="M299" s="4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hidden="1" x14ac:dyDescent="0.3">
      <c r="A300" s="2" t="s">
        <v>2169</v>
      </c>
      <c r="B300" s="7">
        <v>43872</v>
      </c>
      <c r="C300" s="2" t="s">
        <v>2170</v>
      </c>
      <c r="D300" t="s">
        <v>6183</v>
      </c>
      <c r="E300" s="2">
        <v>6</v>
      </c>
      <c r="F300" s="2" t="str">
        <f>_xlfn.XLOOKUP(C300,customers!$A$1:$A$1001,customers!$B$1:$B$1001,"",0)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6">
        <f>INDEX(products!$A$1:$G$49,MATCH(orders!$D300,products!$A$1:$A$49,0),MATCH(orders!K$1,products!$A$1:$G$1,0))</f>
        <v>0.2</v>
      </c>
      <c r="L300" s="4">
        <f>INDEX(products!$A$1:$G$49,MATCH(orders!$D300,products!$A$1:$A$49,0),MATCH(orders!L$1,products!$A$1:$G$1,0))</f>
        <v>4.4550000000000001</v>
      </c>
      <c r="M300" s="4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hidden="1" x14ac:dyDescent="0.3">
      <c r="A301" s="2" t="s">
        <v>2175</v>
      </c>
      <c r="B301" s="7">
        <v>43582</v>
      </c>
      <c r="C301" s="2" t="s">
        <v>2176</v>
      </c>
      <c r="D301" t="s">
        <v>6147</v>
      </c>
      <c r="E301" s="2">
        <v>6</v>
      </c>
      <c r="F301" s="2" t="str">
        <f>_xlfn.XLOOKUP(C301,customers!$A$1:$A$1001,customers!$B$1:$B$1001,"",0)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6">
        <f>INDEX(products!$A$1:$G$49,MATCH(orders!$D301,products!$A$1:$A$49,0),MATCH(orders!K$1,products!$A$1:$G$1,0))</f>
        <v>2.5</v>
      </c>
      <c r="L301" s="4">
        <f>INDEX(products!$A$1:$G$49,MATCH(orders!$D301,products!$A$1:$A$49,0),MATCH(orders!L$1,products!$A$1:$G$1,0))</f>
        <v>34.154999999999994</v>
      </c>
      <c r="M301" s="4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3">
      <c r="A302" s="2" t="s">
        <v>2181</v>
      </c>
      <c r="B302" s="7">
        <v>44646</v>
      </c>
      <c r="C302" s="2" t="s">
        <v>2182</v>
      </c>
      <c r="D302" t="s">
        <v>6139</v>
      </c>
      <c r="E302" s="2">
        <v>3</v>
      </c>
      <c r="F302" s="2" t="str">
        <f>_xlfn.XLOOKUP(C302,customers!$A$1:$A$1001,customers!$B$1:$B$1001,"",0)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6">
        <f>INDEX(products!$A$1:$G$49,MATCH(orders!$D302,products!$A$1:$A$49,0),MATCH(orders!K$1,products!$A$1:$G$1,0))</f>
        <v>1</v>
      </c>
      <c r="L302" s="4">
        <f>INDEX(products!$A$1:$G$49,MATCH(orders!$D302,products!$A$1:$A$49,0),MATCH(orders!L$1,products!$A$1:$G$1,0))</f>
        <v>12.95</v>
      </c>
      <c r="M302" s="4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hidden="1" x14ac:dyDescent="0.3">
      <c r="A303" s="2" t="s">
        <v>2187</v>
      </c>
      <c r="B303" s="7">
        <v>44102</v>
      </c>
      <c r="C303" s="2" t="s">
        <v>2188</v>
      </c>
      <c r="D303" t="s">
        <v>6149</v>
      </c>
      <c r="E303" s="2">
        <v>4</v>
      </c>
      <c r="F303" s="2" t="str">
        <f>_xlfn.XLOOKUP(C303,customers!$A$1:$A$1001,customers!$B$1:$B$1001,"",0)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6">
        <f>INDEX(products!$A$1:$G$49,MATCH(orders!$D303,products!$A$1:$A$49,0),MATCH(orders!K$1,products!$A$1:$G$1,0))</f>
        <v>0.2</v>
      </c>
      <c r="L303" s="4">
        <f>INDEX(products!$A$1:$G$49,MATCH(orders!$D303,products!$A$1:$A$49,0),MATCH(orders!L$1,products!$A$1:$G$1,0))</f>
        <v>3.8849999999999998</v>
      </c>
      <c r="M303" s="4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hidden="1" x14ac:dyDescent="0.3">
      <c r="A304" s="2" t="s">
        <v>2193</v>
      </c>
      <c r="B304" s="7">
        <v>43762</v>
      </c>
      <c r="C304" s="2" t="s">
        <v>2194</v>
      </c>
      <c r="D304" t="s">
        <v>6156</v>
      </c>
      <c r="E304" s="2">
        <v>1</v>
      </c>
      <c r="F304" s="2" t="str">
        <f>_xlfn.XLOOKUP(C304,customers!$A$1:$A$1001,customers!$B$1:$B$1001,"",0)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6">
        <f>INDEX(products!$A$1:$G$49,MATCH(orders!$D304,products!$A$1:$A$49,0),MATCH(orders!K$1,products!$A$1:$G$1,0))</f>
        <v>0.5</v>
      </c>
      <c r="L304" s="4">
        <f>INDEX(products!$A$1:$G$49,MATCH(orders!$D304,products!$A$1:$A$49,0),MATCH(orders!L$1,products!$A$1:$G$1,0))</f>
        <v>6.75</v>
      </c>
      <c r="M304" s="4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hidden="1" x14ac:dyDescent="0.3">
      <c r="A305" s="2" t="s">
        <v>2199</v>
      </c>
      <c r="B305" s="7">
        <v>44412</v>
      </c>
      <c r="C305" s="2" t="s">
        <v>2200</v>
      </c>
      <c r="D305" t="s">
        <v>6184</v>
      </c>
      <c r="E305" s="2">
        <v>4</v>
      </c>
      <c r="F305" s="2" t="str">
        <f>_xlfn.XLOOKUP(C305,customers!$A$1:$A$1001,customers!$B$1:$B$1001,"",0)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6">
        <f>INDEX(products!$A$1:$G$49,MATCH(orders!$D305,products!$A$1:$A$49,0),MATCH(orders!K$1,products!$A$1:$G$1,0))</f>
        <v>2.5</v>
      </c>
      <c r="L305" s="4">
        <f>INDEX(products!$A$1:$G$49,MATCH(orders!$D305,products!$A$1:$A$49,0),MATCH(orders!L$1,products!$A$1:$G$1,0))</f>
        <v>27.945</v>
      </c>
      <c r="M305" s="4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hidden="1" x14ac:dyDescent="0.3">
      <c r="A306" s="2" t="s">
        <v>2204</v>
      </c>
      <c r="B306" s="7">
        <v>43828</v>
      </c>
      <c r="C306" s="2" t="s">
        <v>2245</v>
      </c>
      <c r="D306" t="s">
        <v>6166</v>
      </c>
      <c r="E306" s="2">
        <v>1</v>
      </c>
      <c r="F306" s="2" t="str">
        <f>_xlfn.XLOOKUP(C306,customers!$A$1:$A$1001,customers!$B$1:$B$1001,"",0)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6">
        <f>INDEX(products!$A$1:$G$49,MATCH(orders!$D306,products!$A$1:$A$49,0),MATCH(orders!K$1,products!$A$1:$G$1,0))</f>
        <v>0.2</v>
      </c>
      <c r="L306" s="4">
        <f>INDEX(products!$A$1:$G$49,MATCH(orders!$D306,products!$A$1:$A$49,0),MATCH(orders!L$1,products!$A$1:$G$1,0))</f>
        <v>3.8849999999999998</v>
      </c>
      <c r="M306" s="4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hidden="1" x14ac:dyDescent="0.3">
      <c r="A307" s="2" t="s">
        <v>2209</v>
      </c>
      <c r="B307" s="7">
        <v>43796</v>
      </c>
      <c r="C307" s="2" t="s">
        <v>2210</v>
      </c>
      <c r="D307" t="s">
        <v>6158</v>
      </c>
      <c r="E307" s="2">
        <v>5</v>
      </c>
      <c r="F307" s="2" t="str">
        <f>_xlfn.XLOOKUP(C307,customers!$A$1:$A$1001,customers!$B$1:$B$1001,"",0)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6">
        <f>INDEX(products!$A$1:$G$49,MATCH(orders!$D307,products!$A$1:$A$49,0),MATCH(orders!K$1,products!$A$1:$G$1,0))</f>
        <v>0.2</v>
      </c>
      <c r="L307" s="4">
        <f>INDEX(products!$A$1:$G$49,MATCH(orders!$D307,products!$A$1:$A$49,0),MATCH(orders!L$1,products!$A$1:$G$1,0))</f>
        <v>4.3650000000000002</v>
      </c>
      <c r="M307" s="4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hidden="1" x14ac:dyDescent="0.3">
      <c r="A308" s="2" t="s">
        <v>2215</v>
      </c>
      <c r="B308" s="7">
        <v>43890</v>
      </c>
      <c r="C308" s="2" t="s">
        <v>2216</v>
      </c>
      <c r="D308" t="s">
        <v>6173</v>
      </c>
      <c r="E308" s="2">
        <v>5</v>
      </c>
      <c r="F308" s="2" t="str">
        <f>_xlfn.XLOOKUP(C308,customers!$A$1:$A$1001,customers!$B$1:$B$1001,"",0)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6">
        <f>INDEX(products!$A$1:$G$49,MATCH(orders!$D308,products!$A$1:$A$49,0),MATCH(orders!K$1,products!$A$1:$G$1,0))</f>
        <v>0.2</v>
      </c>
      <c r="L308" s="4">
        <f>INDEX(products!$A$1:$G$49,MATCH(orders!$D308,products!$A$1:$A$49,0),MATCH(orders!L$1,products!$A$1:$G$1,0))</f>
        <v>2.9849999999999999</v>
      </c>
      <c r="M308" s="4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hidden="1" x14ac:dyDescent="0.3">
      <c r="A309" s="2" t="s">
        <v>2221</v>
      </c>
      <c r="B309" s="7">
        <v>44227</v>
      </c>
      <c r="C309" s="2" t="s">
        <v>2222</v>
      </c>
      <c r="D309" t="s">
        <v>6154</v>
      </c>
      <c r="E309" s="2">
        <v>3</v>
      </c>
      <c r="F309" s="2" t="str">
        <f>_xlfn.XLOOKUP(C309,customers!$A$1:$A$1001,customers!$B$1:$B$1001,"",0)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6">
        <f>INDEX(products!$A$1:$G$49,MATCH(orders!$D309,products!$A$1:$A$49,0),MATCH(orders!K$1,products!$A$1:$G$1,0))</f>
        <v>1</v>
      </c>
      <c r="L309" s="4">
        <f>INDEX(products!$A$1:$G$49,MATCH(orders!$D309,products!$A$1:$A$49,0),MATCH(orders!L$1,products!$A$1:$G$1,0))</f>
        <v>11.25</v>
      </c>
      <c r="M309" s="4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3">
      <c r="A310" s="2" t="s">
        <v>2227</v>
      </c>
      <c r="B310" s="7">
        <v>44729</v>
      </c>
      <c r="C310" s="2" t="s">
        <v>2228</v>
      </c>
      <c r="D310" t="s">
        <v>6154</v>
      </c>
      <c r="E310" s="2">
        <v>3</v>
      </c>
      <c r="F310" s="2" t="str">
        <f>_xlfn.XLOOKUP(C310,customers!$A$1:$A$1001,customers!$B$1:$B$1001,"",0)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6">
        <f>INDEX(products!$A$1:$G$49,MATCH(orders!$D310,products!$A$1:$A$49,0),MATCH(orders!K$1,products!$A$1:$G$1,0))</f>
        <v>1</v>
      </c>
      <c r="L310" s="4">
        <f>INDEX(products!$A$1:$G$49,MATCH(orders!$D310,products!$A$1:$A$49,0),MATCH(orders!L$1,products!$A$1:$G$1,0))</f>
        <v>11.25</v>
      </c>
      <c r="M310" s="4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hidden="1" x14ac:dyDescent="0.3">
      <c r="A311" s="2" t="s">
        <v>2232</v>
      </c>
      <c r="B311" s="7">
        <v>43864</v>
      </c>
      <c r="C311" s="2" t="s">
        <v>2233</v>
      </c>
      <c r="D311" t="s">
        <v>6158</v>
      </c>
      <c r="E311" s="2">
        <v>6</v>
      </c>
      <c r="F311" s="2" t="str">
        <f>_xlfn.XLOOKUP(C311,customers!$A$1:$A$1001,customers!$B$1:$B$1001,"",0)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6">
        <f>INDEX(products!$A$1:$G$49,MATCH(orders!$D311,products!$A$1:$A$49,0),MATCH(orders!K$1,products!$A$1:$G$1,0))</f>
        <v>0.2</v>
      </c>
      <c r="L311" s="4">
        <f>INDEX(products!$A$1:$G$49,MATCH(orders!$D311,products!$A$1:$A$49,0),MATCH(orders!L$1,products!$A$1:$G$1,0))</f>
        <v>4.3650000000000002</v>
      </c>
      <c r="M311" s="4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3">
      <c r="A312" s="2" t="s">
        <v>2238</v>
      </c>
      <c r="B312" s="7">
        <v>44586</v>
      </c>
      <c r="C312" s="2" t="s">
        <v>2239</v>
      </c>
      <c r="D312" t="s">
        <v>6170</v>
      </c>
      <c r="E312" s="2">
        <v>1</v>
      </c>
      <c r="F312" s="2" t="str">
        <f>_xlfn.XLOOKUP(C312,customers!$A$1:$A$1001,customers!$B$1:$B$1001,"",0)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6">
        <f>INDEX(products!$A$1:$G$49,MATCH(orders!$D312,products!$A$1:$A$49,0),MATCH(orders!K$1,products!$A$1:$G$1,0))</f>
        <v>1</v>
      </c>
      <c r="L312" s="4">
        <f>INDEX(products!$A$1:$G$49,MATCH(orders!$D312,products!$A$1:$A$49,0),MATCH(orders!L$1,products!$A$1:$G$1,0))</f>
        <v>14.85</v>
      </c>
      <c r="M312" s="4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hidden="1" x14ac:dyDescent="0.3">
      <c r="A313" s="2" t="s">
        <v>2244</v>
      </c>
      <c r="B313" s="7">
        <v>43951</v>
      </c>
      <c r="C313" s="2" t="s">
        <v>2245</v>
      </c>
      <c r="D313" t="s">
        <v>6165</v>
      </c>
      <c r="E313" s="2">
        <v>6</v>
      </c>
      <c r="F313" s="2" t="str">
        <f>_xlfn.XLOOKUP(C313,customers!$A$1:$A$1001,customers!$B$1:$B$1001,"",0)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6">
        <f>INDEX(products!$A$1:$G$49,MATCH(orders!$D313,products!$A$1:$A$49,0),MATCH(orders!K$1,products!$A$1:$G$1,0))</f>
        <v>2.5</v>
      </c>
      <c r="L313" s="4">
        <f>INDEX(products!$A$1:$G$49,MATCH(orders!$D313,products!$A$1:$A$49,0),MATCH(orders!L$1,products!$A$1:$G$1,0))</f>
        <v>31.624999999999996</v>
      </c>
      <c r="M313" s="4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hidden="1" x14ac:dyDescent="0.3">
      <c r="A314" s="2" t="s">
        <v>2250</v>
      </c>
      <c r="B314" s="7">
        <v>44317</v>
      </c>
      <c r="C314" s="2" t="s">
        <v>2251</v>
      </c>
      <c r="D314" t="s">
        <v>6145</v>
      </c>
      <c r="E314" s="2">
        <v>1</v>
      </c>
      <c r="F314" s="2" t="str">
        <f>_xlfn.XLOOKUP(C314,customers!$A$1:$A$1001,customers!$B$1:$B$1001,"",0)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6">
        <f>INDEX(products!$A$1:$G$49,MATCH(orders!$D314,products!$A$1:$A$49,0),MATCH(orders!K$1,products!$A$1:$G$1,0))</f>
        <v>0.5</v>
      </c>
      <c r="L314" s="4">
        <f>INDEX(products!$A$1:$G$49,MATCH(orders!$D314,products!$A$1:$A$49,0),MATCH(orders!L$1,products!$A$1:$G$1,0))</f>
        <v>5.97</v>
      </c>
      <c r="M314" s="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hidden="1" x14ac:dyDescent="0.3">
      <c r="A315" s="2" t="s">
        <v>2256</v>
      </c>
      <c r="B315" s="7">
        <v>44497</v>
      </c>
      <c r="C315" s="2" t="s">
        <v>2257</v>
      </c>
      <c r="D315" t="s">
        <v>6137</v>
      </c>
      <c r="E315" s="2">
        <v>3</v>
      </c>
      <c r="F315" s="2" t="str">
        <f>_xlfn.XLOOKUP(C315,customers!$A$1:$A$1001,customers!$B$1:$B$1001,"",0)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6">
        <f>INDEX(products!$A$1:$G$49,MATCH(orders!$D315,products!$A$1:$A$49,0),MATCH(orders!K$1,products!$A$1:$G$1,0))</f>
        <v>1</v>
      </c>
      <c r="L315" s="4">
        <f>INDEX(products!$A$1:$G$49,MATCH(orders!$D315,products!$A$1:$A$49,0),MATCH(orders!L$1,products!$A$1:$G$1,0))</f>
        <v>9.9499999999999993</v>
      </c>
      <c r="M315" s="4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hidden="1" x14ac:dyDescent="0.3">
      <c r="A316" s="2" t="s">
        <v>2262</v>
      </c>
      <c r="B316" s="7">
        <v>44437</v>
      </c>
      <c r="C316" s="2" t="s">
        <v>2263</v>
      </c>
      <c r="D316" t="s">
        <v>6176</v>
      </c>
      <c r="E316" s="2">
        <v>5</v>
      </c>
      <c r="F316" s="2" t="str">
        <f>_xlfn.XLOOKUP(C316,customers!$A$1:$A$1001,customers!$B$1:$B$1001,"",0)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6">
        <f>INDEX(products!$A$1:$G$49,MATCH(orders!$D316,products!$A$1:$A$49,0),MATCH(orders!K$1,products!$A$1:$G$1,0))</f>
        <v>1</v>
      </c>
      <c r="L316" s="4">
        <f>INDEX(products!$A$1:$G$49,MATCH(orders!$D316,products!$A$1:$A$49,0),MATCH(orders!L$1,products!$A$1:$G$1,0))</f>
        <v>8.9499999999999993</v>
      </c>
      <c r="M316" s="4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hidden="1" x14ac:dyDescent="0.3">
      <c r="A317" s="2" t="s">
        <v>2267</v>
      </c>
      <c r="B317" s="7">
        <v>43826</v>
      </c>
      <c r="C317" s="2" t="s">
        <v>2268</v>
      </c>
      <c r="D317" t="s">
        <v>6147</v>
      </c>
      <c r="E317" s="2">
        <v>1</v>
      </c>
      <c r="F317" s="2" t="str">
        <f>_xlfn.XLOOKUP(C317,customers!$A$1:$A$1001,customers!$B$1:$B$1001,"",0)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6">
        <f>INDEX(products!$A$1:$G$49,MATCH(orders!$D317,products!$A$1:$A$49,0),MATCH(orders!K$1,products!$A$1:$G$1,0))</f>
        <v>2.5</v>
      </c>
      <c r="L317" s="4">
        <f>INDEX(products!$A$1:$G$49,MATCH(orders!$D317,products!$A$1:$A$49,0),MATCH(orders!L$1,products!$A$1:$G$1,0))</f>
        <v>34.154999999999994</v>
      </c>
      <c r="M317" s="4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hidden="1" x14ac:dyDescent="0.3">
      <c r="A318" s="2" t="s">
        <v>2273</v>
      </c>
      <c r="B318" s="7">
        <v>43641</v>
      </c>
      <c r="C318" s="2" t="s">
        <v>2274</v>
      </c>
      <c r="D318" t="s">
        <v>6147</v>
      </c>
      <c r="E318" s="2">
        <v>6</v>
      </c>
      <c r="F318" s="2" t="str">
        <f>_xlfn.XLOOKUP(C318,customers!$A$1:$A$1001,customers!$B$1:$B$1001,"",0)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6">
        <f>INDEX(products!$A$1:$G$49,MATCH(orders!$D318,products!$A$1:$A$49,0),MATCH(orders!K$1,products!$A$1:$G$1,0))</f>
        <v>2.5</v>
      </c>
      <c r="L318" s="4">
        <f>INDEX(products!$A$1:$G$49,MATCH(orders!$D318,products!$A$1:$A$49,0),MATCH(orders!L$1,products!$A$1:$G$1,0))</f>
        <v>34.154999999999994</v>
      </c>
      <c r="M318" s="4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hidden="1" x14ac:dyDescent="0.3">
      <c r="A319" s="2" t="s">
        <v>2279</v>
      </c>
      <c r="B319" s="7">
        <v>43526</v>
      </c>
      <c r="C319" s="2" t="s">
        <v>2280</v>
      </c>
      <c r="D319" t="s">
        <v>6143</v>
      </c>
      <c r="E319" s="2">
        <v>3</v>
      </c>
      <c r="F319" s="2" t="str">
        <f>_xlfn.XLOOKUP(C319,customers!$A$1:$A$1001,customers!$B$1:$B$1001,"",0)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6">
        <f>INDEX(products!$A$1:$G$49,MATCH(orders!$D319,products!$A$1:$A$49,0),MATCH(orders!K$1,products!$A$1:$G$1,0))</f>
        <v>0.5</v>
      </c>
      <c r="L319" s="4">
        <f>INDEX(products!$A$1:$G$49,MATCH(orders!$D319,products!$A$1:$A$49,0),MATCH(orders!L$1,products!$A$1:$G$1,0))</f>
        <v>7.29</v>
      </c>
      <c r="M319" s="4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3">
      <c r="A320" s="2" t="s">
        <v>2285</v>
      </c>
      <c r="B320" s="7">
        <v>44563</v>
      </c>
      <c r="C320" s="2" t="s">
        <v>2286</v>
      </c>
      <c r="D320" t="s">
        <v>6174</v>
      </c>
      <c r="E320" s="2">
        <v>2</v>
      </c>
      <c r="F320" s="2" t="str">
        <f>_xlfn.XLOOKUP(C320,customers!$A$1:$A$1001,customers!$B$1:$B$1001,"",0)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6">
        <f>INDEX(products!$A$1:$G$49,MATCH(orders!$D320,products!$A$1:$A$49,0),MATCH(orders!K$1,products!$A$1:$G$1,0))</f>
        <v>2.5</v>
      </c>
      <c r="L320" s="4">
        <f>INDEX(products!$A$1:$G$49,MATCH(orders!$D320,products!$A$1:$A$49,0),MATCH(orders!L$1,products!$A$1:$G$1,0))</f>
        <v>25.874999999999996</v>
      </c>
      <c r="M320" s="4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hidden="1" x14ac:dyDescent="0.3">
      <c r="A321" s="2" t="s">
        <v>2291</v>
      </c>
      <c r="B321" s="7">
        <v>43676</v>
      </c>
      <c r="C321" s="2" t="s">
        <v>2292</v>
      </c>
      <c r="D321" t="s">
        <v>6155</v>
      </c>
      <c r="E321" s="2">
        <v>2</v>
      </c>
      <c r="F321" s="2" t="str">
        <f>_xlfn.XLOOKUP(C321,customers!$A$1:$A$1001,customers!$B$1:$B$1001,"",0)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6">
        <f>INDEX(products!$A$1:$G$49,MATCH(orders!$D321,products!$A$1:$A$49,0),MATCH(orders!K$1,products!$A$1:$G$1,0))</f>
        <v>0.2</v>
      </c>
      <c r="L321" s="4">
        <f>INDEX(products!$A$1:$G$49,MATCH(orders!$D321,products!$A$1:$A$49,0),MATCH(orders!L$1,products!$A$1:$G$1,0))</f>
        <v>4.125</v>
      </c>
      <c r="M321" s="4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hidden="1" x14ac:dyDescent="0.3">
      <c r="A322" s="2" t="s">
        <v>2291</v>
      </c>
      <c r="B322" s="7">
        <v>43676</v>
      </c>
      <c r="C322" s="2" t="s">
        <v>2292</v>
      </c>
      <c r="D322" t="s">
        <v>6166</v>
      </c>
      <c r="E322" s="2">
        <v>5</v>
      </c>
      <c r="F322" s="2" t="str">
        <f>_xlfn.XLOOKUP(C322,customers!$A$1:$A$1001,customers!$B$1:$B$1001,"",0)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6">
        <f>INDEX(products!$A$1:$G$49,MATCH(orders!$D322,products!$A$1:$A$49,0),MATCH(orders!K$1,products!$A$1:$G$1,0))</f>
        <v>0.2</v>
      </c>
      <c r="L322" s="4">
        <f>INDEX(products!$A$1:$G$49,MATCH(orders!$D322,products!$A$1:$A$49,0),MATCH(orders!L$1,products!$A$1:$G$1,0))</f>
        <v>3.8849999999999998</v>
      </c>
      <c r="M322" s="4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hidden="1" x14ac:dyDescent="0.3">
      <c r="A323" s="2" t="s">
        <v>2301</v>
      </c>
      <c r="B323" s="7">
        <v>44170</v>
      </c>
      <c r="C323" s="2" t="s">
        <v>2302</v>
      </c>
      <c r="D323" t="s">
        <v>6151</v>
      </c>
      <c r="E323" s="2">
        <v>6</v>
      </c>
      <c r="F323" s="2" t="str">
        <f>_xlfn.XLOOKUP(C323,customers!$A$1:$A$1001,customers!$B$1:$B$1001,"",0)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6">
        <f>INDEX(products!$A$1:$G$49,MATCH(orders!$D323,products!$A$1:$A$49,0),MATCH(orders!K$1,products!$A$1:$G$1,0))</f>
        <v>0.2</v>
      </c>
      <c r="L323" s="4">
        <f>INDEX(products!$A$1:$G$49,MATCH(orders!$D323,products!$A$1:$A$49,0),MATCH(orders!L$1,products!$A$1:$G$1,0))</f>
        <v>3.375</v>
      </c>
      <c r="M323" s="4">
        <f t="shared" ref="M323:M386" si="15">E323*L323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hidden="1" x14ac:dyDescent="0.3">
      <c r="A324" s="2" t="s">
        <v>2307</v>
      </c>
      <c r="B324" s="7">
        <v>44182</v>
      </c>
      <c r="C324" s="2" t="s">
        <v>2308</v>
      </c>
      <c r="D324" t="s">
        <v>6168</v>
      </c>
      <c r="E324" s="2">
        <v>3</v>
      </c>
      <c r="F324" s="2" t="str">
        <f>_xlfn.XLOOKUP(C324,customers!$A$1:$A$1001,customers!$B$1:$B$1001,"",0)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6">
        <f>INDEX(products!$A$1:$G$49,MATCH(orders!$D324,products!$A$1:$A$49,0),MATCH(orders!K$1,products!$A$1:$G$1,0))</f>
        <v>0.5</v>
      </c>
      <c r="L324" s="4">
        <f>INDEX(products!$A$1:$G$49,MATCH(orders!$D324,products!$A$1:$A$49,0),MATCH(orders!L$1,products!$A$1:$G$1,0))</f>
        <v>7.77</v>
      </c>
      <c r="M324" s="4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hidden="1" x14ac:dyDescent="0.3">
      <c r="A325" s="2" t="s">
        <v>2313</v>
      </c>
      <c r="B325" s="7">
        <v>44373</v>
      </c>
      <c r="C325" s="2" t="s">
        <v>2314</v>
      </c>
      <c r="D325" t="s">
        <v>6152</v>
      </c>
      <c r="E325" s="2">
        <v>5</v>
      </c>
      <c r="F325" s="2" t="str">
        <f>_xlfn.XLOOKUP(C325,customers!$A$1:$A$1001,customers!$B$1:$B$1001,"",0)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6">
        <f>INDEX(products!$A$1:$G$49,MATCH(orders!$D325,products!$A$1:$A$49,0),MATCH(orders!K$1,products!$A$1:$G$1,0))</f>
        <v>0.2</v>
      </c>
      <c r="L325" s="4">
        <f>INDEX(products!$A$1:$G$49,MATCH(orders!$D325,products!$A$1:$A$49,0),MATCH(orders!L$1,products!$A$1:$G$1,0))</f>
        <v>3.645</v>
      </c>
      <c r="M325" s="4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hidden="1" x14ac:dyDescent="0.3">
      <c r="A326" s="2" t="s">
        <v>2319</v>
      </c>
      <c r="B326" s="7">
        <v>43666</v>
      </c>
      <c r="C326" s="2" t="s">
        <v>2320</v>
      </c>
      <c r="D326" t="s">
        <v>6140</v>
      </c>
      <c r="E326" s="2">
        <v>1</v>
      </c>
      <c r="F326" s="2" t="str">
        <f>_xlfn.XLOOKUP(C326,customers!$A$1:$A$1001,customers!$B$1:$B$1001,"",0)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6">
        <f>INDEX(products!$A$1:$G$49,MATCH(orders!$D326,products!$A$1:$A$49,0),MATCH(orders!K$1,products!$A$1:$G$1,0))</f>
        <v>1</v>
      </c>
      <c r="L326" s="4">
        <f>INDEX(products!$A$1:$G$49,MATCH(orders!$D326,products!$A$1:$A$49,0),MATCH(orders!L$1,products!$A$1:$G$1,0))</f>
        <v>13.75</v>
      </c>
      <c r="M326" s="4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3">
      <c r="A327" s="2" t="s">
        <v>2324</v>
      </c>
      <c r="B327" s="7">
        <v>44756</v>
      </c>
      <c r="C327" s="2" t="s">
        <v>2325</v>
      </c>
      <c r="D327" t="s">
        <v>6181</v>
      </c>
      <c r="E327" s="2">
        <v>1</v>
      </c>
      <c r="F327" s="2" t="str">
        <f>_xlfn.XLOOKUP(C327,customers!$A$1:$A$1001,customers!$B$1:$B$1001,"",0)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6">
        <f>INDEX(products!$A$1:$G$49,MATCH(orders!$D327,products!$A$1:$A$49,0),MATCH(orders!K$1,products!$A$1:$G$1,0))</f>
        <v>2.5</v>
      </c>
      <c r="L327" s="4">
        <f>INDEX(products!$A$1:$G$49,MATCH(orders!$D327,products!$A$1:$A$49,0),MATCH(orders!L$1,products!$A$1:$G$1,0))</f>
        <v>29.784999999999997</v>
      </c>
      <c r="M327" s="4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hidden="1" x14ac:dyDescent="0.3">
      <c r="A328" s="2" t="s">
        <v>2330</v>
      </c>
      <c r="B328" s="7">
        <v>44057</v>
      </c>
      <c r="C328" s="2" t="s">
        <v>2331</v>
      </c>
      <c r="D328" t="s">
        <v>6176</v>
      </c>
      <c r="E328" s="2">
        <v>5</v>
      </c>
      <c r="F328" s="2" t="str">
        <f>_xlfn.XLOOKUP(C328,customers!$A$1:$A$1001,customers!$B$1:$B$1001,"",0)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6">
        <f>INDEX(products!$A$1:$G$49,MATCH(orders!$D328,products!$A$1:$A$49,0),MATCH(orders!K$1,products!$A$1:$G$1,0))</f>
        <v>1</v>
      </c>
      <c r="L328" s="4">
        <f>INDEX(products!$A$1:$G$49,MATCH(orders!$D328,products!$A$1:$A$49,0),MATCH(orders!L$1,products!$A$1:$G$1,0))</f>
        <v>8.9499999999999993</v>
      </c>
      <c r="M328" s="4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hidden="1" x14ac:dyDescent="0.3">
      <c r="A329" s="2" t="s">
        <v>2335</v>
      </c>
      <c r="B329" s="7">
        <v>43579</v>
      </c>
      <c r="C329" s="2" t="s">
        <v>2336</v>
      </c>
      <c r="D329" t="s">
        <v>6176</v>
      </c>
      <c r="E329" s="2">
        <v>5</v>
      </c>
      <c r="F329" s="2" t="str">
        <f>_xlfn.XLOOKUP(C329,customers!$A$1:$A$1001,customers!$B$1:$B$1001,"",0)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6">
        <f>INDEX(products!$A$1:$G$49,MATCH(orders!$D329,products!$A$1:$A$49,0),MATCH(orders!K$1,products!$A$1:$G$1,0))</f>
        <v>1</v>
      </c>
      <c r="L329" s="4">
        <f>INDEX(products!$A$1:$G$49,MATCH(orders!$D329,products!$A$1:$A$49,0),MATCH(orders!L$1,products!$A$1:$G$1,0))</f>
        <v>8.9499999999999993</v>
      </c>
      <c r="M329" s="4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hidden="1" x14ac:dyDescent="0.3">
      <c r="A330" s="2" t="s">
        <v>2341</v>
      </c>
      <c r="B330" s="7">
        <v>43620</v>
      </c>
      <c r="C330" s="2" t="s">
        <v>2342</v>
      </c>
      <c r="D330" t="s">
        <v>6160</v>
      </c>
      <c r="E330" s="2">
        <v>4</v>
      </c>
      <c r="F330" s="2" t="str">
        <f>_xlfn.XLOOKUP(C330,customers!$A$1:$A$1001,customers!$B$1:$B$1001,"",0)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6">
        <f>INDEX(products!$A$1:$G$49,MATCH(orders!$D330,products!$A$1:$A$49,0),MATCH(orders!K$1,products!$A$1:$G$1,0))</f>
        <v>0.5</v>
      </c>
      <c r="L330" s="4">
        <f>INDEX(products!$A$1:$G$49,MATCH(orders!$D330,products!$A$1:$A$49,0),MATCH(orders!L$1,products!$A$1:$G$1,0))</f>
        <v>9.51</v>
      </c>
      <c r="M330" s="4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3">
      <c r="A331" s="2" t="s">
        <v>2346</v>
      </c>
      <c r="B331" s="7">
        <v>44781</v>
      </c>
      <c r="C331" s="2" t="s">
        <v>2347</v>
      </c>
      <c r="D331" t="s">
        <v>6171</v>
      </c>
      <c r="E331" s="2">
        <v>4</v>
      </c>
      <c r="F331" s="2" t="str">
        <f>_xlfn.XLOOKUP(C331,customers!$A$1:$A$1001,customers!$B$1:$B$1001,"",0)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6">
        <f>INDEX(products!$A$1:$G$49,MATCH(orders!$D331,products!$A$1:$A$49,0),MATCH(orders!K$1,products!$A$1:$G$1,0))</f>
        <v>0.5</v>
      </c>
      <c r="L331" s="4">
        <f>INDEX(products!$A$1:$G$49,MATCH(orders!$D331,products!$A$1:$A$49,0),MATCH(orders!L$1,products!$A$1:$G$1,0))</f>
        <v>5.3699999999999992</v>
      </c>
      <c r="M331" s="4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hidden="1" x14ac:dyDescent="0.3">
      <c r="A332" s="2" t="s">
        <v>2351</v>
      </c>
      <c r="B332" s="7">
        <v>43782</v>
      </c>
      <c r="C332" s="2" t="s">
        <v>2280</v>
      </c>
      <c r="D332" t="s">
        <v>6171</v>
      </c>
      <c r="E332" s="2">
        <v>3</v>
      </c>
      <c r="F332" s="2" t="str">
        <f>_xlfn.XLOOKUP(C332,customers!$A$1:$A$1001,customers!$B$1:$B$1001,"",0)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6">
        <f>INDEX(products!$A$1:$G$49,MATCH(orders!$D332,products!$A$1:$A$49,0),MATCH(orders!K$1,products!$A$1:$G$1,0))</f>
        <v>0.5</v>
      </c>
      <c r="L332" s="4">
        <f>INDEX(products!$A$1:$G$49,MATCH(orders!$D332,products!$A$1:$A$49,0),MATCH(orders!L$1,products!$A$1:$G$1,0))</f>
        <v>5.3699999999999992</v>
      </c>
      <c r="M332" s="4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hidden="1" x14ac:dyDescent="0.3">
      <c r="A333" s="2" t="s">
        <v>2357</v>
      </c>
      <c r="B333" s="7">
        <v>43989</v>
      </c>
      <c r="C333" s="2" t="s">
        <v>2358</v>
      </c>
      <c r="D333" t="s">
        <v>6150</v>
      </c>
      <c r="E333" s="2">
        <v>1</v>
      </c>
      <c r="F333" s="2" t="str">
        <f>_xlfn.XLOOKUP(C333,customers!$A$1:$A$1001,customers!$B$1:$B$1001,"",0)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6">
        <f>INDEX(products!$A$1:$G$49,MATCH(orders!$D333,products!$A$1:$A$49,0),MATCH(orders!K$1,products!$A$1:$G$1,0))</f>
        <v>2.5</v>
      </c>
      <c r="L333" s="4">
        <f>INDEX(products!$A$1:$G$49,MATCH(orders!$D333,products!$A$1:$A$49,0),MATCH(orders!L$1,products!$A$1:$G$1,0))</f>
        <v>22.884999999999998</v>
      </c>
      <c r="M333" s="4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hidden="1" x14ac:dyDescent="0.3">
      <c r="A334" s="2" t="s">
        <v>2363</v>
      </c>
      <c r="B334" s="7">
        <v>43689</v>
      </c>
      <c r="C334" s="2" t="s">
        <v>2364</v>
      </c>
      <c r="D334" t="s">
        <v>6157</v>
      </c>
      <c r="E334" s="2">
        <v>3</v>
      </c>
      <c r="F334" s="2" t="str">
        <f>_xlfn.XLOOKUP(C334,customers!$A$1:$A$1001,customers!$B$1:$B$1001,"",0)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6">
        <f>INDEX(products!$A$1:$G$49,MATCH(orders!$D334,products!$A$1:$A$49,0),MATCH(orders!K$1,products!$A$1:$G$1,0))</f>
        <v>0.5</v>
      </c>
      <c r="L334" s="4">
        <f>INDEX(products!$A$1:$G$49,MATCH(orders!$D334,products!$A$1:$A$49,0),MATCH(orders!L$1,products!$A$1:$G$1,0))</f>
        <v>5.97</v>
      </c>
      <c r="M334" s="4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hidden="1" x14ac:dyDescent="0.3">
      <c r="A335" s="2" t="s">
        <v>2369</v>
      </c>
      <c r="B335" s="7">
        <v>43712</v>
      </c>
      <c r="C335" s="2" t="s">
        <v>2370</v>
      </c>
      <c r="D335" t="s">
        <v>6145</v>
      </c>
      <c r="E335" s="2">
        <v>4</v>
      </c>
      <c r="F335" s="2" t="str">
        <f>_xlfn.XLOOKUP(C335,customers!$A$1:$A$1001,customers!$B$1:$B$1001,"",0)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6">
        <f>INDEX(products!$A$1:$G$49,MATCH(orders!$D335,products!$A$1:$A$49,0),MATCH(orders!K$1,products!$A$1:$G$1,0))</f>
        <v>0.5</v>
      </c>
      <c r="L335" s="4">
        <f>INDEX(products!$A$1:$G$49,MATCH(orders!$D335,products!$A$1:$A$49,0),MATCH(orders!L$1,products!$A$1:$G$1,0))</f>
        <v>5.97</v>
      </c>
      <c r="M335" s="4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hidden="1" x14ac:dyDescent="0.3">
      <c r="A336" s="2" t="s">
        <v>2375</v>
      </c>
      <c r="B336" s="7">
        <v>43742</v>
      </c>
      <c r="C336" s="2" t="s">
        <v>2376</v>
      </c>
      <c r="D336" t="s">
        <v>6178</v>
      </c>
      <c r="E336" s="2">
        <v>5</v>
      </c>
      <c r="F336" s="2" t="str">
        <f>_xlfn.XLOOKUP(C336,customers!$A$1:$A$1001,customers!$B$1:$B$1001,"",0)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6">
        <f>INDEX(products!$A$1:$G$49,MATCH(orders!$D336,products!$A$1:$A$49,0),MATCH(orders!K$1,products!$A$1:$G$1,0))</f>
        <v>1</v>
      </c>
      <c r="L336" s="4">
        <f>INDEX(products!$A$1:$G$49,MATCH(orders!$D336,products!$A$1:$A$49,0),MATCH(orders!L$1,products!$A$1:$G$1,0))</f>
        <v>11.95</v>
      </c>
      <c r="M336" s="4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hidden="1" x14ac:dyDescent="0.3">
      <c r="A337" s="2" t="s">
        <v>2379</v>
      </c>
      <c r="B337" s="7">
        <v>43885</v>
      </c>
      <c r="C337" s="2" t="s">
        <v>2380</v>
      </c>
      <c r="D337" t="s">
        <v>6144</v>
      </c>
      <c r="E337" s="2">
        <v>6</v>
      </c>
      <c r="F337" s="2" t="str">
        <f>_xlfn.XLOOKUP(C337,customers!$A$1:$A$1001,customers!$B$1:$B$1001,"",0)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6">
        <f>INDEX(products!$A$1:$G$49,MATCH(orders!$D337,products!$A$1:$A$49,0),MATCH(orders!K$1,products!$A$1:$G$1,0))</f>
        <v>0.2</v>
      </c>
      <c r="L337" s="4">
        <f>INDEX(products!$A$1:$G$49,MATCH(orders!$D337,products!$A$1:$A$49,0),MATCH(orders!L$1,products!$A$1:$G$1,0))</f>
        <v>4.7549999999999999</v>
      </c>
      <c r="M337" s="4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hidden="1" x14ac:dyDescent="0.3">
      <c r="A338" s="2" t="s">
        <v>2385</v>
      </c>
      <c r="B338" s="7">
        <v>44434</v>
      </c>
      <c r="C338" s="2" t="s">
        <v>2386</v>
      </c>
      <c r="D338" t="s">
        <v>6154</v>
      </c>
      <c r="E338" s="2">
        <v>4</v>
      </c>
      <c r="F338" s="2" t="str">
        <f>_xlfn.XLOOKUP(C338,customers!$A$1:$A$1001,customers!$B$1:$B$1001,"",0)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6">
        <f>INDEX(products!$A$1:$G$49,MATCH(orders!$D338,products!$A$1:$A$49,0),MATCH(orders!K$1,products!$A$1:$G$1,0))</f>
        <v>1</v>
      </c>
      <c r="L338" s="4">
        <f>INDEX(products!$A$1:$G$49,MATCH(orders!$D338,products!$A$1:$A$49,0),MATCH(orders!L$1,products!$A$1:$G$1,0))</f>
        <v>11.25</v>
      </c>
      <c r="M338" s="4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hidden="1" x14ac:dyDescent="0.3">
      <c r="A339" s="2" t="s">
        <v>2391</v>
      </c>
      <c r="B339" s="7">
        <v>44472</v>
      </c>
      <c r="C339" s="2" t="s">
        <v>2331</v>
      </c>
      <c r="D339" t="s">
        <v>6184</v>
      </c>
      <c r="E339" s="2">
        <v>2</v>
      </c>
      <c r="F339" s="2" t="str">
        <f>_xlfn.XLOOKUP(C339,customers!$A$1:$A$1001,customers!$B$1:$B$1001,"",0)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6">
        <f>INDEX(products!$A$1:$G$49,MATCH(orders!$D339,products!$A$1:$A$49,0),MATCH(orders!K$1,products!$A$1:$G$1,0))</f>
        <v>2.5</v>
      </c>
      <c r="L339" s="4">
        <f>INDEX(products!$A$1:$G$49,MATCH(orders!$D339,products!$A$1:$A$49,0),MATCH(orders!L$1,products!$A$1:$G$1,0))</f>
        <v>27.945</v>
      </c>
      <c r="M339" s="4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hidden="1" x14ac:dyDescent="0.3">
      <c r="A340" s="2" t="s">
        <v>2396</v>
      </c>
      <c r="B340" s="7">
        <v>43995</v>
      </c>
      <c r="C340" s="2" t="s">
        <v>2397</v>
      </c>
      <c r="D340" t="s">
        <v>6170</v>
      </c>
      <c r="E340" s="2">
        <v>4</v>
      </c>
      <c r="F340" s="2" t="str">
        <f>_xlfn.XLOOKUP(C340,customers!$A$1:$A$1001,customers!$B$1:$B$1001,"",0)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6">
        <f>INDEX(products!$A$1:$G$49,MATCH(orders!$D340,products!$A$1:$A$49,0),MATCH(orders!K$1,products!$A$1:$G$1,0))</f>
        <v>1</v>
      </c>
      <c r="L340" s="4">
        <f>INDEX(products!$A$1:$G$49,MATCH(orders!$D340,products!$A$1:$A$49,0),MATCH(orders!L$1,products!$A$1:$G$1,0))</f>
        <v>14.85</v>
      </c>
      <c r="M340" s="4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hidden="1" x14ac:dyDescent="0.3">
      <c r="A341" s="2" t="s">
        <v>2402</v>
      </c>
      <c r="B341" s="7">
        <v>44256</v>
      </c>
      <c r="C341" s="2" t="s">
        <v>2403</v>
      </c>
      <c r="D341" t="s">
        <v>6152</v>
      </c>
      <c r="E341" s="2">
        <v>2</v>
      </c>
      <c r="F341" s="2" t="str">
        <f>_xlfn.XLOOKUP(C341,customers!$A$1:$A$1001,customers!$B$1:$B$1001,"",0)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6">
        <f>INDEX(products!$A$1:$G$49,MATCH(orders!$D341,products!$A$1:$A$49,0),MATCH(orders!K$1,products!$A$1:$G$1,0))</f>
        <v>0.2</v>
      </c>
      <c r="L341" s="4">
        <f>INDEX(products!$A$1:$G$49,MATCH(orders!$D341,products!$A$1:$A$49,0),MATCH(orders!L$1,products!$A$1:$G$1,0))</f>
        <v>3.645</v>
      </c>
      <c r="M341" s="4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hidden="1" x14ac:dyDescent="0.3">
      <c r="A342" s="2" t="s">
        <v>2408</v>
      </c>
      <c r="B342" s="7">
        <v>43528</v>
      </c>
      <c r="C342" s="2" t="s">
        <v>2409</v>
      </c>
      <c r="D342" t="s">
        <v>6143</v>
      </c>
      <c r="E342" s="2">
        <v>1</v>
      </c>
      <c r="F342" s="2" t="str">
        <f>_xlfn.XLOOKUP(C342,customers!$A$1:$A$1001,customers!$B$1:$B$1001,"",0)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6">
        <f>INDEX(products!$A$1:$G$49,MATCH(orders!$D342,products!$A$1:$A$49,0),MATCH(orders!K$1,products!$A$1:$G$1,0))</f>
        <v>0.5</v>
      </c>
      <c r="L342" s="4">
        <f>INDEX(products!$A$1:$G$49,MATCH(orders!$D342,products!$A$1:$A$49,0),MATCH(orders!L$1,products!$A$1:$G$1,0))</f>
        <v>7.29</v>
      </c>
      <c r="M342" s="4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hidden="1" x14ac:dyDescent="0.3">
      <c r="A343" s="2" t="s">
        <v>2414</v>
      </c>
      <c r="B343" s="7">
        <v>43751</v>
      </c>
      <c r="C343" s="2" t="s">
        <v>2415</v>
      </c>
      <c r="D343" t="s">
        <v>6175</v>
      </c>
      <c r="E343" s="2">
        <v>2</v>
      </c>
      <c r="F343" s="2" t="str">
        <f>_xlfn.XLOOKUP(C343,customers!$A$1:$A$1001,customers!$B$1:$B$1001,"",0)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6">
        <f>INDEX(products!$A$1:$G$49,MATCH(orders!$D343,products!$A$1:$A$49,0),MATCH(orders!K$1,products!$A$1:$G$1,0))</f>
        <v>0.5</v>
      </c>
      <c r="L343" s="4">
        <f>INDEX(products!$A$1:$G$49,MATCH(orders!$D343,products!$A$1:$A$49,0),MATCH(orders!L$1,products!$A$1:$G$1,0))</f>
        <v>8.91</v>
      </c>
      <c r="M343" s="4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hidden="1" x14ac:dyDescent="0.3">
      <c r="A344" s="2" t="s">
        <v>2414</v>
      </c>
      <c r="B344" s="7">
        <v>43751</v>
      </c>
      <c r="C344" s="2" t="s">
        <v>2415</v>
      </c>
      <c r="D344" t="s">
        <v>6168</v>
      </c>
      <c r="E344" s="2">
        <v>5</v>
      </c>
      <c r="F344" s="2" t="str">
        <f>_xlfn.XLOOKUP(C344,customers!$A$1:$A$1001,customers!$B$1:$B$1001,"",0)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6">
        <f>INDEX(products!$A$1:$G$49,MATCH(orders!$D344,products!$A$1:$A$49,0),MATCH(orders!K$1,products!$A$1:$G$1,0))</f>
        <v>0.5</v>
      </c>
      <c r="L344" s="4">
        <f>INDEX(products!$A$1:$G$49,MATCH(orders!$D344,products!$A$1:$A$49,0),MATCH(orders!L$1,products!$A$1:$G$1,0))</f>
        <v>7.77</v>
      </c>
      <c r="M344" s="4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hidden="1" x14ac:dyDescent="0.3">
      <c r="A345" s="2" t="s">
        <v>2424</v>
      </c>
      <c r="B345" s="7">
        <v>43692</v>
      </c>
      <c r="C345" s="2" t="s">
        <v>2425</v>
      </c>
      <c r="D345" t="s">
        <v>6171</v>
      </c>
      <c r="E345" s="2">
        <v>6</v>
      </c>
      <c r="F345" s="2" t="str">
        <f>_xlfn.XLOOKUP(C345,customers!$A$1:$A$1001,customers!$B$1:$B$1001,"",0)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6">
        <f>INDEX(products!$A$1:$G$49,MATCH(orders!$D345,products!$A$1:$A$49,0),MATCH(orders!K$1,products!$A$1:$G$1,0))</f>
        <v>0.5</v>
      </c>
      <c r="L345" s="4">
        <f>INDEX(products!$A$1:$G$49,MATCH(orders!$D345,products!$A$1:$A$49,0),MATCH(orders!L$1,products!$A$1:$G$1,0))</f>
        <v>5.3699999999999992</v>
      </c>
      <c r="M345" s="4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hidden="1" x14ac:dyDescent="0.3">
      <c r="A346" s="2" t="s">
        <v>2429</v>
      </c>
      <c r="B346" s="7">
        <v>44529</v>
      </c>
      <c r="C346" s="2" t="s">
        <v>2430</v>
      </c>
      <c r="D346" t="s">
        <v>6137</v>
      </c>
      <c r="E346" s="2">
        <v>2</v>
      </c>
      <c r="F346" s="2" t="str">
        <f>_xlfn.XLOOKUP(C346,customers!$A$1:$A$1001,customers!$B$1:$B$1001,"",0)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6">
        <f>INDEX(products!$A$1:$G$49,MATCH(orders!$D346,products!$A$1:$A$49,0),MATCH(orders!K$1,products!$A$1:$G$1,0))</f>
        <v>1</v>
      </c>
      <c r="L346" s="4">
        <f>INDEX(products!$A$1:$G$49,MATCH(orders!$D346,products!$A$1:$A$49,0),MATCH(orders!L$1,products!$A$1:$G$1,0))</f>
        <v>9.9499999999999993</v>
      </c>
      <c r="M346" s="4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hidden="1" x14ac:dyDescent="0.3">
      <c r="A347" s="2" t="s">
        <v>2434</v>
      </c>
      <c r="B347" s="7">
        <v>43849</v>
      </c>
      <c r="C347" s="2" t="s">
        <v>2435</v>
      </c>
      <c r="D347" t="s">
        <v>6178</v>
      </c>
      <c r="E347" s="2">
        <v>5</v>
      </c>
      <c r="F347" s="2" t="str">
        <f>_xlfn.XLOOKUP(C347,customers!$A$1:$A$1001,customers!$B$1:$B$1001,"",0)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6">
        <f>INDEX(products!$A$1:$G$49,MATCH(orders!$D347,products!$A$1:$A$49,0),MATCH(orders!K$1,products!$A$1:$G$1,0))</f>
        <v>1</v>
      </c>
      <c r="L347" s="4">
        <f>INDEX(products!$A$1:$G$49,MATCH(orders!$D347,products!$A$1:$A$49,0),MATCH(orders!L$1,products!$A$1:$G$1,0))</f>
        <v>11.95</v>
      </c>
      <c r="M347" s="4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hidden="1" x14ac:dyDescent="0.3">
      <c r="A348" s="2" t="s">
        <v>2440</v>
      </c>
      <c r="B348" s="7">
        <v>44344</v>
      </c>
      <c r="C348" s="2" t="s">
        <v>2441</v>
      </c>
      <c r="D348" t="s">
        <v>6179</v>
      </c>
      <c r="E348" s="2">
        <v>3</v>
      </c>
      <c r="F348" s="2" t="str">
        <f>_xlfn.XLOOKUP(C348,customers!$A$1:$A$1001,customers!$B$1:$B$1001,"",0)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6">
        <f>INDEX(products!$A$1:$G$49,MATCH(orders!$D348,products!$A$1:$A$49,0),MATCH(orders!K$1,products!$A$1:$G$1,0))</f>
        <v>0.5</v>
      </c>
      <c r="L348" s="4">
        <f>INDEX(products!$A$1:$G$49,MATCH(orders!$D348,products!$A$1:$A$49,0),MATCH(orders!L$1,products!$A$1:$G$1,0))</f>
        <v>7.77</v>
      </c>
      <c r="M348" s="4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3">
      <c r="A349" s="2" t="s">
        <v>2446</v>
      </c>
      <c r="B349" s="7">
        <v>44576</v>
      </c>
      <c r="C349" s="2" t="s">
        <v>2447</v>
      </c>
      <c r="D349" t="s">
        <v>6161</v>
      </c>
      <c r="E349" s="2">
        <v>3</v>
      </c>
      <c r="F349" s="2" t="str">
        <f>_xlfn.XLOOKUP(C349,customers!$A$1:$A$1001,customers!$B$1:$B$1001,"",0)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6">
        <f>INDEX(products!$A$1:$G$49,MATCH(orders!$D349,products!$A$1:$A$49,0),MATCH(orders!K$1,products!$A$1:$G$1,0))</f>
        <v>1</v>
      </c>
      <c r="L349" s="4">
        <f>INDEX(products!$A$1:$G$49,MATCH(orders!$D349,products!$A$1:$A$49,0),MATCH(orders!L$1,products!$A$1:$G$1,0))</f>
        <v>14.55</v>
      </c>
      <c r="M349" s="4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hidden="1" x14ac:dyDescent="0.3">
      <c r="A350" s="2" t="s">
        <v>2452</v>
      </c>
      <c r="B350" s="7">
        <v>43803</v>
      </c>
      <c r="C350" s="2" t="s">
        <v>2453</v>
      </c>
      <c r="D350" t="s">
        <v>6147</v>
      </c>
      <c r="E350" s="2">
        <v>6</v>
      </c>
      <c r="F350" s="2" t="str">
        <f>_xlfn.XLOOKUP(C350,customers!$A$1:$A$1001,customers!$B$1:$B$1001,"",0)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6">
        <f>INDEX(products!$A$1:$G$49,MATCH(orders!$D350,products!$A$1:$A$49,0),MATCH(orders!K$1,products!$A$1:$G$1,0))</f>
        <v>2.5</v>
      </c>
      <c r="L350" s="4">
        <f>INDEX(products!$A$1:$G$49,MATCH(orders!$D350,products!$A$1:$A$49,0),MATCH(orders!L$1,products!$A$1:$G$1,0))</f>
        <v>34.154999999999994</v>
      </c>
      <c r="M350" s="4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3">
      <c r="A351" s="2" t="s">
        <v>2458</v>
      </c>
      <c r="B351" s="7">
        <v>44743</v>
      </c>
      <c r="C351" s="2" t="s">
        <v>2459</v>
      </c>
      <c r="D351" t="s">
        <v>6177</v>
      </c>
      <c r="E351" s="2">
        <v>4</v>
      </c>
      <c r="F351" s="2" t="str">
        <f>_xlfn.XLOOKUP(C351,customers!$A$1:$A$1001,customers!$B$1:$B$1001,"",0)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6">
        <f>INDEX(products!$A$1:$G$49,MATCH(orders!$D351,products!$A$1:$A$49,0),MATCH(orders!K$1,products!$A$1:$G$1,0))</f>
        <v>0.2</v>
      </c>
      <c r="L351" s="4">
        <f>INDEX(products!$A$1:$G$49,MATCH(orders!$D351,products!$A$1:$A$49,0),MATCH(orders!L$1,products!$A$1:$G$1,0))</f>
        <v>3.5849999999999995</v>
      </c>
      <c r="M351" s="4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hidden="1" x14ac:dyDescent="0.3">
      <c r="A352" s="2" t="s">
        <v>2464</v>
      </c>
      <c r="B352" s="7">
        <v>43592</v>
      </c>
      <c r="C352" s="2" t="s">
        <v>2465</v>
      </c>
      <c r="D352" t="s">
        <v>6157</v>
      </c>
      <c r="E352" s="2">
        <v>4</v>
      </c>
      <c r="F352" s="2" t="str">
        <f>_xlfn.XLOOKUP(C352,customers!$A$1:$A$1001,customers!$B$1:$B$1001,"",0)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6">
        <f>INDEX(products!$A$1:$G$49,MATCH(orders!$D352,products!$A$1:$A$49,0),MATCH(orders!K$1,products!$A$1:$G$1,0))</f>
        <v>0.5</v>
      </c>
      <c r="L352" s="4">
        <f>INDEX(products!$A$1:$G$49,MATCH(orders!$D352,products!$A$1:$A$49,0),MATCH(orders!L$1,products!$A$1:$G$1,0))</f>
        <v>5.97</v>
      </c>
      <c r="M352" s="4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hidden="1" x14ac:dyDescent="0.3">
      <c r="A353" s="2" t="s">
        <v>2470</v>
      </c>
      <c r="B353" s="7">
        <v>44066</v>
      </c>
      <c r="C353" s="2" t="s">
        <v>2471</v>
      </c>
      <c r="D353" t="s">
        <v>6154</v>
      </c>
      <c r="E353" s="2">
        <v>2</v>
      </c>
      <c r="F353" s="2" t="str">
        <f>_xlfn.XLOOKUP(C353,customers!$A$1:$A$1001,customers!$B$1:$B$1001,"",0)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6">
        <f>INDEX(products!$A$1:$G$49,MATCH(orders!$D353,products!$A$1:$A$49,0),MATCH(orders!K$1,products!$A$1:$G$1,0))</f>
        <v>1</v>
      </c>
      <c r="L353" s="4">
        <f>INDEX(products!$A$1:$G$49,MATCH(orders!$D353,products!$A$1:$A$49,0),MATCH(orders!L$1,products!$A$1:$G$1,0))</f>
        <v>11.25</v>
      </c>
      <c r="M353" s="4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hidden="1" x14ac:dyDescent="0.3">
      <c r="A354" s="2" t="s">
        <v>2476</v>
      </c>
      <c r="B354" s="7">
        <v>43984</v>
      </c>
      <c r="C354" s="2" t="s">
        <v>2331</v>
      </c>
      <c r="D354" t="s">
        <v>6143</v>
      </c>
      <c r="E354" s="2">
        <v>5</v>
      </c>
      <c r="F354" s="2" t="str">
        <f>_xlfn.XLOOKUP(C354,customers!$A$1:$A$1001,customers!$B$1:$B$1001,"",0)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6">
        <f>INDEX(products!$A$1:$G$49,MATCH(orders!$D354,products!$A$1:$A$49,0),MATCH(orders!K$1,products!$A$1:$G$1,0))</f>
        <v>0.5</v>
      </c>
      <c r="L354" s="4">
        <f>INDEX(products!$A$1:$G$49,MATCH(orders!$D354,products!$A$1:$A$49,0),MATCH(orders!L$1,products!$A$1:$G$1,0))</f>
        <v>7.29</v>
      </c>
      <c r="M354" s="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hidden="1" x14ac:dyDescent="0.3">
      <c r="A355" s="2" t="s">
        <v>2482</v>
      </c>
      <c r="B355" s="7">
        <v>43860</v>
      </c>
      <c r="C355" s="2" t="s">
        <v>2483</v>
      </c>
      <c r="D355" t="s">
        <v>6156</v>
      </c>
      <c r="E355" s="2">
        <v>4</v>
      </c>
      <c r="F355" s="2" t="str">
        <f>_xlfn.XLOOKUP(C355,customers!$A$1:$A$1001,customers!$B$1:$B$1001,"",0)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6">
        <f>INDEX(products!$A$1:$G$49,MATCH(orders!$D355,products!$A$1:$A$49,0),MATCH(orders!K$1,products!$A$1:$G$1,0))</f>
        <v>0.5</v>
      </c>
      <c r="L355" s="4">
        <f>INDEX(products!$A$1:$G$49,MATCH(orders!$D355,products!$A$1:$A$49,0),MATCH(orders!L$1,products!$A$1:$G$1,0))</f>
        <v>6.75</v>
      </c>
      <c r="M355" s="4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hidden="1" x14ac:dyDescent="0.3">
      <c r="A356" s="2" t="s">
        <v>2487</v>
      </c>
      <c r="B356" s="7">
        <v>43876</v>
      </c>
      <c r="C356" s="2" t="s">
        <v>2488</v>
      </c>
      <c r="D356" t="s">
        <v>6174</v>
      </c>
      <c r="E356" s="2">
        <v>6</v>
      </c>
      <c r="F356" s="2" t="str">
        <f>_xlfn.XLOOKUP(C356,customers!$A$1:$A$1001,customers!$B$1:$B$1001,"",0)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6">
        <f>INDEX(products!$A$1:$G$49,MATCH(orders!$D356,products!$A$1:$A$49,0),MATCH(orders!K$1,products!$A$1:$G$1,0))</f>
        <v>2.5</v>
      </c>
      <c r="L356" s="4">
        <f>INDEX(products!$A$1:$G$49,MATCH(orders!$D356,products!$A$1:$A$49,0),MATCH(orders!L$1,products!$A$1:$G$1,0))</f>
        <v>25.874999999999996</v>
      </c>
      <c r="M356" s="4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hidden="1" x14ac:dyDescent="0.3">
      <c r="A357" s="2" t="s">
        <v>2492</v>
      </c>
      <c r="B357" s="7">
        <v>44358</v>
      </c>
      <c r="C357" s="2" t="s">
        <v>2493</v>
      </c>
      <c r="D357" t="s">
        <v>6167</v>
      </c>
      <c r="E357" s="2">
        <v>5</v>
      </c>
      <c r="F357" s="2" t="str">
        <f>_xlfn.XLOOKUP(C357,customers!$A$1:$A$1001,customers!$B$1:$B$1001,"",0)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6">
        <f>INDEX(products!$A$1:$G$49,MATCH(orders!$D357,products!$A$1:$A$49,0),MATCH(orders!K$1,products!$A$1:$G$1,0))</f>
        <v>2.5</v>
      </c>
      <c r="L357" s="4">
        <f>INDEX(products!$A$1:$G$49,MATCH(orders!$D357,products!$A$1:$A$49,0),MATCH(orders!L$1,products!$A$1:$G$1,0))</f>
        <v>22.884999999999998</v>
      </c>
      <c r="M357" s="4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3">
      <c r="A358" s="2" t="s">
        <v>2498</v>
      </c>
      <c r="B358" s="7">
        <v>44631</v>
      </c>
      <c r="C358" s="2" t="s">
        <v>2499</v>
      </c>
      <c r="D358" t="s">
        <v>6142</v>
      </c>
      <c r="E358" s="2">
        <v>4</v>
      </c>
      <c r="F358" s="2" t="str">
        <f>_xlfn.XLOOKUP(C358,customers!$A$1:$A$1001,customers!$B$1:$B$1001,"",0)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6">
        <f>INDEX(products!$A$1:$G$49,MATCH(orders!$D358,products!$A$1:$A$49,0),MATCH(orders!K$1,products!$A$1:$G$1,0))</f>
        <v>1</v>
      </c>
      <c r="L358" s="4">
        <f>INDEX(products!$A$1:$G$49,MATCH(orders!$D358,products!$A$1:$A$49,0),MATCH(orders!L$1,products!$A$1:$G$1,0))</f>
        <v>12.95</v>
      </c>
      <c r="M358" s="4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hidden="1" x14ac:dyDescent="0.3">
      <c r="A359" s="2" t="s">
        <v>2504</v>
      </c>
      <c r="B359" s="7">
        <v>44448</v>
      </c>
      <c r="C359" s="2" t="s">
        <v>2505</v>
      </c>
      <c r="D359" t="s">
        <v>6174</v>
      </c>
      <c r="E359" s="2">
        <v>6</v>
      </c>
      <c r="F359" s="2" t="str">
        <f>_xlfn.XLOOKUP(C359,customers!$A$1:$A$1001,customers!$B$1:$B$1001,"",0)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6">
        <f>INDEX(products!$A$1:$G$49,MATCH(orders!$D359,products!$A$1:$A$49,0),MATCH(orders!K$1,products!$A$1:$G$1,0))</f>
        <v>2.5</v>
      </c>
      <c r="L359" s="4">
        <f>INDEX(products!$A$1:$G$49,MATCH(orders!$D359,products!$A$1:$A$49,0),MATCH(orders!L$1,products!$A$1:$G$1,0))</f>
        <v>25.874999999999996</v>
      </c>
      <c r="M359" s="4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hidden="1" x14ac:dyDescent="0.3">
      <c r="A360" s="2" t="s">
        <v>2509</v>
      </c>
      <c r="B360" s="7">
        <v>43599</v>
      </c>
      <c r="C360" s="2" t="s">
        <v>2510</v>
      </c>
      <c r="D360" t="s">
        <v>6181</v>
      </c>
      <c r="E360" s="2">
        <v>1</v>
      </c>
      <c r="F360" s="2" t="str">
        <f>_xlfn.XLOOKUP(C360,customers!$A$1:$A$1001,customers!$B$1:$B$1001,"",0)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6">
        <f>INDEX(products!$A$1:$G$49,MATCH(orders!$D360,products!$A$1:$A$49,0),MATCH(orders!K$1,products!$A$1:$G$1,0))</f>
        <v>2.5</v>
      </c>
      <c r="L360" s="4">
        <f>INDEX(products!$A$1:$G$49,MATCH(orders!$D360,products!$A$1:$A$49,0),MATCH(orders!L$1,products!$A$1:$G$1,0))</f>
        <v>29.784999999999997</v>
      </c>
      <c r="M360" s="4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hidden="1" x14ac:dyDescent="0.3">
      <c r="A361" s="2" t="s">
        <v>2515</v>
      </c>
      <c r="B361" s="7">
        <v>43563</v>
      </c>
      <c r="C361" s="2" t="s">
        <v>2516</v>
      </c>
      <c r="D361" t="s">
        <v>6177</v>
      </c>
      <c r="E361" s="2">
        <v>6</v>
      </c>
      <c r="F361" s="2" t="str">
        <f>_xlfn.XLOOKUP(C361,customers!$A$1:$A$1001,customers!$B$1:$B$1001,"",0)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6">
        <f>INDEX(products!$A$1:$G$49,MATCH(orders!$D361,products!$A$1:$A$49,0),MATCH(orders!K$1,products!$A$1:$G$1,0))</f>
        <v>0.2</v>
      </c>
      <c r="L361" s="4">
        <f>INDEX(products!$A$1:$G$49,MATCH(orders!$D361,products!$A$1:$A$49,0),MATCH(orders!L$1,products!$A$1:$G$1,0))</f>
        <v>3.5849999999999995</v>
      </c>
      <c r="M361" s="4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hidden="1" x14ac:dyDescent="0.3">
      <c r="A362" s="2" t="s">
        <v>2521</v>
      </c>
      <c r="B362" s="7">
        <v>44058</v>
      </c>
      <c r="C362" s="2" t="s">
        <v>2522</v>
      </c>
      <c r="D362" t="s">
        <v>6148</v>
      </c>
      <c r="E362" s="2">
        <v>2</v>
      </c>
      <c r="F362" s="2" t="str">
        <f>_xlfn.XLOOKUP(C362,customers!$A$1:$A$1001,customers!$B$1:$B$1001,"",0)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6">
        <f>INDEX(products!$A$1:$G$49,MATCH(orders!$D362,products!$A$1:$A$49,0),MATCH(orders!K$1,products!$A$1:$G$1,0))</f>
        <v>2.5</v>
      </c>
      <c r="L362" s="4">
        <f>INDEX(products!$A$1:$G$49,MATCH(orders!$D362,products!$A$1:$A$49,0),MATCH(orders!L$1,products!$A$1:$G$1,0))</f>
        <v>20.584999999999997</v>
      </c>
      <c r="M362" s="4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hidden="1" x14ac:dyDescent="0.3">
      <c r="A363" s="2" t="s">
        <v>2521</v>
      </c>
      <c r="B363" s="7">
        <v>44058</v>
      </c>
      <c r="C363" s="2" t="s">
        <v>2522</v>
      </c>
      <c r="D363" t="s">
        <v>6145</v>
      </c>
      <c r="E363" s="2">
        <v>1</v>
      </c>
      <c r="F363" s="2" t="str">
        <f>_xlfn.XLOOKUP(C363,customers!$A$1:$A$1001,customers!$B$1:$B$1001,"",0)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6">
        <f>INDEX(products!$A$1:$G$49,MATCH(orders!$D363,products!$A$1:$A$49,0),MATCH(orders!K$1,products!$A$1:$G$1,0))</f>
        <v>0.5</v>
      </c>
      <c r="L363" s="4">
        <f>INDEX(products!$A$1:$G$49,MATCH(orders!$D363,products!$A$1:$A$49,0),MATCH(orders!L$1,products!$A$1:$G$1,0))</f>
        <v>5.97</v>
      </c>
      <c r="M363" s="4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3">
      <c r="A364" s="2" t="s">
        <v>2532</v>
      </c>
      <c r="B364" s="7">
        <v>44686</v>
      </c>
      <c r="C364" s="2" t="s">
        <v>2533</v>
      </c>
      <c r="D364" t="s">
        <v>6170</v>
      </c>
      <c r="E364" s="2">
        <v>5</v>
      </c>
      <c r="F364" s="2" t="str">
        <f>_xlfn.XLOOKUP(C364,customers!$A$1:$A$1001,customers!$B$1:$B$1001,"",0)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6">
        <f>INDEX(products!$A$1:$G$49,MATCH(orders!$D364,products!$A$1:$A$49,0),MATCH(orders!K$1,products!$A$1:$G$1,0))</f>
        <v>1</v>
      </c>
      <c r="L364" s="4">
        <f>INDEX(products!$A$1:$G$49,MATCH(orders!$D364,products!$A$1:$A$49,0),MATCH(orders!L$1,products!$A$1:$G$1,0))</f>
        <v>14.85</v>
      </c>
      <c r="M364" s="4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hidden="1" x14ac:dyDescent="0.3">
      <c r="A365" s="2" t="s">
        <v>2538</v>
      </c>
      <c r="B365" s="7">
        <v>44282</v>
      </c>
      <c r="C365" s="2" t="s">
        <v>2539</v>
      </c>
      <c r="D365" t="s">
        <v>6161</v>
      </c>
      <c r="E365" s="2">
        <v>6</v>
      </c>
      <c r="F365" s="2" t="str">
        <f>_xlfn.XLOOKUP(C365,customers!$A$1:$A$1001,customers!$B$1:$B$1001,"",0)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6">
        <f>INDEX(products!$A$1:$G$49,MATCH(orders!$D365,products!$A$1:$A$49,0),MATCH(orders!K$1,products!$A$1:$G$1,0))</f>
        <v>1</v>
      </c>
      <c r="L365" s="4">
        <f>INDEX(products!$A$1:$G$49,MATCH(orders!$D365,products!$A$1:$A$49,0),MATCH(orders!L$1,products!$A$1:$G$1,0))</f>
        <v>14.55</v>
      </c>
      <c r="M365" s="4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hidden="1" x14ac:dyDescent="0.3">
      <c r="A366" s="2" t="s">
        <v>2543</v>
      </c>
      <c r="B366" s="7">
        <v>43582</v>
      </c>
      <c r="C366" s="2" t="s">
        <v>2544</v>
      </c>
      <c r="D366" t="s">
        <v>6182</v>
      </c>
      <c r="E366" s="2">
        <v>6</v>
      </c>
      <c r="F366" s="2" t="str">
        <f>_xlfn.XLOOKUP(C366,customers!$A$1:$A$1001,customers!$B$1:$B$1001,"",0)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6">
        <f>INDEX(products!$A$1:$G$49,MATCH(orders!$D366,products!$A$1:$A$49,0),MATCH(orders!K$1,products!$A$1:$G$1,0))</f>
        <v>1</v>
      </c>
      <c r="L366" s="4">
        <f>INDEX(products!$A$1:$G$49,MATCH(orders!$D366,products!$A$1:$A$49,0),MATCH(orders!L$1,products!$A$1:$G$1,0))</f>
        <v>12.15</v>
      </c>
      <c r="M366" s="4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hidden="1" x14ac:dyDescent="0.3">
      <c r="A367" s="2" t="s">
        <v>2549</v>
      </c>
      <c r="B367" s="7">
        <v>44464</v>
      </c>
      <c r="C367" s="2" t="s">
        <v>2550</v>
      </c>
      <c r="D367" t="s">
        <v>6168</v>
      </c>
      <c r="E367" s="2">
        <v>1</v>
      </c>
      <c r="F367" s="2" t="str">
        <f>_xlfn.XLOOKUP(C367,customers!$A$1:$A$1001,customers!$B$1:$B$1001,"",0)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6">
        <f>INDEX(products!$A$1:$G$49,MATCH(orders!$D367,products!$A$1:$A$49,0),MATCH(orders!K$1,products!$A$1:$G$1,0))</f>
        <v>0.5</v>
      </c>
      <c r="L367" s="4">
        <f>INDEX(products!$A$1:$G$49,MATCH(orders!$D367,products!$A$1:$A$49,0),MATCH(orders!L$1,products!$A$1:$G$1,0))</f>
        <v>7.77</v>
      </c>
      <c r="M367" s="4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hidden="1" x14ac:dyDescent="0.3">
      <c r="A368" s="2" t="s">
        <v>2554</v>
      </c>
      <c r="B368" s="7">
        <v>43874</v>
      </c>
      <c r="C368" s="2" t="s">
        <v>2555</v>
      </c>
      <c r="D368" t="s">
        <v>6143</v>
      </c>
      <c r="E368" s="2">
        <v>6</v>
      </c>
      <c r="F368" s="2" t="str">
        <f>_xlfn.XLOOKUP(C368,customers!$A$1:$A$1001,customers!$B$1:$B$1001,"",0)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6">
        <f>INDEX(products!$A$1:$G$49,MATCH(orders!$D368,products!$A$1:$A$49,0),MATCH(orders!K$1,products!$A$1:$G$1,0))</f>
        <v>0.5</v>
      </c>
      <c r="L368" s="4">
        <f>INDEX(products!$A$1:$G$49,MATCH(orders!$D368,products!$A$1:$A$49,0),MATCH(orders!L$1,products!$A$1:$G$1,0))</f>
        <v>7.29</v>
      </c>
      <c r="M368" s="4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hidden="1" x14ac:dyDescent="0.3">
      <c r="A369" s="2" t="s">
        <v>2559</v>
      </c>
      <c r="B369" s="7">
        <v>44393</v>
      </c>
      <c r="C369" s="2" t="s">
        <v>2560</v>
      </c>
      <c r="D369" t="s">
        <v>6158</v>
      </c>
      <c r="E369" s="2">
        <v>2</v>
      </c>
      <c r="F369" s="2" t="str">
        <f>_xlfn.XLOOKUP(C369,customers!$A$1:$A$1001,customers!$B$1:$B$1001,"",0)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6">
        <f>INDEX(products!$A$1:$G$49,MATCH(orders!$D369,products!$A$1:$A$49,0),MATCH(orders!K$1,products!$A$1:$G$1,0))</f>
        <v>0.2</v>
      </c>
      <c r="L369" s="4">
        <f>INDEX(products!$A$1:$G$49,MATCH(orders!$D369,products!$A$1:$A$49,0),MATCH(orders!L$1,products!$A$1:$G$1,0))</f>
        <v>4.3650000000000002</v>
      </c>
      <c r="M369" s="4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3">
      <c r="A370" s="2" t="s">
        <v>2563</v>
      </c>
      <c r="B370" s="7">
        <v>44692</v>
      </c>
      <c r="C370" s="2" t="s">
        <v>2564</v>
      </c>
      <c r="D370" t="s">
        <v>6165</v>
      </c>
      <c r="E370" s="2">
        <v>2</v>
      </c>
      <c r="F370" s="2" t="str">
        <f>_xlfn.XLOOKUP(C370,customers!$A$1:$A$1001,customers!$B$1:$B$1001,"",0)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6">
        <f>INDEX(products!$A$1:$G$49,MATCH(orders!$D370,products!$A$1:$A$49,0),MATCH(orders!K$1,products!$A$1:$G$1,0))</f>
        <v>2.5</v>
      </c>
      <c r="L370" s="4">
        <f>INDEX(products!$A$1:$G$49,MATCH(orders!$D370,products!$A$1:$A$49,0),MATCH(orders!L$1,products!$A$1:$G$1,0))</f>
        <v>31.624999999999996</v>
      </c>
      <c r="M370" s="4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hidden="1" x14ac:dyDescent="0.3">
      <c r="A371" s="2" t="s">
        <v>2569</v>
      </c>
      <c r="B371" s="7">
        <v>43500</v>
      </c>
      <c r="C371" s="2" t="s">
        <v>2570</v>
      </c>
      <c r="D371" t="s">
        <v>6175</v>
      </c>
      <c r="E371" s="2">
        <v>1</v>
      </c>
      <c r="F371" s="2" t="str">
        <f>_xlfn.XLOOKUP(C371,customers!$A$1:$A$1001,customers!$B$1:$B$1001,"",0)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6">
        <f>INDEX(products!$A$1:$G$49,MATCH(orders!$D371,products!$A$1:$A$49,0),MATCH(orders!K$1,products!$A$1:$G$1,0))</f>
        <v>0.5</v>
      </c>
      <c r="L371" s="4">
        <f>INDEX(products!$A$1:$G$49,MATCH(orders!$D371,products!$A$1:$A$49,0),MATCH(orders!L$1,products!$A$1:$G$1,0))</f>
        <v>8.91</v>
      </c>
      <c r="M371" s="4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hidden="1" x14ac:dyDescent="0.3">
      <c r="A372" s="2" t="s">
        <v>2573</v>
      </c>
      <c r="B372" s="7">
        <v>43501</v>
      </c>
      <c r="C372" s="2" t="s">
        <v>2574</v>
      </c>
      <c r="D372" t="s">
        <v>6182</v>
      </c>
      <c r="E372" s="2">
        <v>2</v>
      </c>
      <c r="F372" s="2" t="str">
        <f>_xlfn.XLOOKUP(C372,customers!$A$1:$A$1001,customers!$B$1:$B$1001,"",0)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6">
        <f>INDEX(products!$A$1:$G$49,MATCH(orders!$D372,products!$A$1:$A$49,0),MATCH(orders!K$1,products!$A$1:$G$1,0))</f>
        <v>1</v>
      </c>
      <c r="L372" s="4">
        <f>INDEX(products!$A$1:$G$49,MATCH(orders!$D372,products!$A$1:$A$49,0),MATCH(orders!L$1,products!$A$1:$G$1,0))</f>
        <v>12.15</v>
      </c>
      <c r="M372" s="4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3">
      <c r="A373" s="2" t="s">
        <v>2579</v>
      </c>
      <c r="B373" s="7">
        <v>44705</v>
      </c>
      <c r="C373" s="2" t="s">
        <v>2580</v>
      </c>
      <c r="D373" t="s">
        <v>6179</v>
      </c>
      <c r="E373" s="2">
        <v>6</v>
      </c>
      <c r="F373" s="2" t="str">
        <f>_xlfn.XLOOKUP(C373,customers!$A$1:$A$1001,customers!$B$1:$B$1001,"",0)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6">
        <f>INDEX(products!$A$1:$G$49,MATCH(orders!$D373,products!$A$1:$A$49,0),MATCH(orders!K$1,products!$A$1:$G$1,0))</f>
        <v>0.5</v>
      </c>
      <c r="L373" s="4">
        <f>INDEX(products!$A$1:$G$49,MATCH(orders!$D373,products!$A$1:$A$49,0),MATCH(orders!L$1,products!$A$1:$G$1,0))</f>
        <v>7.77</v>
      </c>
      <c r="M373" s="4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hidden="1" x14ac:dyDescent="0.3">
      <c r="A374" s="2" t="s">
        <v>2585</v>
      </c>
      <c r="B374" s="7">
        <v>44108</v>
      </c>
      <c r="C374" s="2" t="s">
        <v>2586</v>
      </c>
      <c r="D374" t="s">
        <v>6172</v>
      </c>
      <c r="E374" s="2">
        <v>6</v>
      </c>
      <c r="F374" s="2" t="str">
        <f>_xlfn.XLOOKUP(C374,customers!$A$1:$A$1001,customers!$B$1:$B$1001,"",0)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6">
        <f>INDEX(products!$A$1:$G$49,MATCH(orders!$D374,products!$A$1:$A$49,0),MATCH(orders!K$1,products!$A$1:$G$1,0))</f>
        <v>0.5</v>
      </c>
      <c r="L374" s="4">
        <f>INDEX(products!$A$1:$G$49,MATCH(orders!$D374,products!$A$1:$A$49,0),MATCH(orders!L$1,products!$A$1:$G$1,0))</f>
        <v>7.169999999999999</v>
      </c>
      <c r="M374" s="4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3">
      <c r="A375" s="2" t="s">
        <v>2591</v>
      </c>
      <c r="B375" s="7">
        <v>44742</v>
      </c>
      <c r="C375" s="2" t="s">
        <v>2592</v>
      </c>
      <c r="D375" t="s">
        <v>6157</v>
      </c>
      <c r="E375" s="2">
        <v>3</v>
      </c>
      <c r="F375" s="2" t="str">
        <f>_xlfn.XLOOKUP(C375,customers!$A$1:$A$1001,customers!$B$1:$B$1001,"",0)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6">
        <f>INDEX(products!$A$1:$G$49,MATCH(orders!$D375,products!$A$1:$A$49,0),MATCH(orders!K$1,products!$A$1:$G$1,0))</f>
        <v>0.5</v>
      </c>
      <c r="L375" s="4">
        <f>INDEX(products!$A$1:$G$49,MATCH(orders!$D375,products!$A$1:$A$49,0),MATCH(orders!L$1,products!$A$1:$G$1,0))</f>
        <v>5.97</v>
      </c>
      <c r="M375" s="4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hidden="1" x14ac:dyDescent="0.3">
      <c r="A376" s="2" t="s">
        <v>2597</v>
      </c>
      <c r="B376" s="7">
        <v>44125</v>
      </c>
      <c r="C376" s="2" t="s">
        <v>2598</v>
      </c>
      <c r="D376" t="s">
        <v>6160</v>
      </c>
      <c r="E376" s="2">
        <v>4</v>
      </c>
      <c r="F376" s="2" t="str">
        <f>_xlfn.XLOOKUP(C376,customers!$A$1:$A$1001,customers!$B$1:$B$1001,"",0)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6">
        <f>INDEX(products!$A$1:$G$49,MATCH(orders!$D376,products!$A$1:$A$49,0),MATCH(orders!K$1,products!$A$1:$G$1,0))</f>
        <v>0.5</v>
      </c>
      <c r="L376" s="4">
        <f>INDEX(products!$A$1:$G$49,MATCH(orders!$D376,products!$A$1:$A$49,0),MATCH(orders!L$1,products!$A$1:$G$1,0))</f>
        <v>9.51</v>
      </c>
      <c r="M376" s="4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hidden="1" x14ac:dyDescent="0.3">
      <c r="A377" s="2" t="s">
        <v>2603</v>
      </c>
      <c r="B377" s="7">
        <v>44120</v>
      </c>
      <c r="C377" s="2" t="s">
        <v>2604</v>
      </c>
      <c r="D377" t="s">
        <v>6151</v>
      </c>
      <c r="E377" s="2">
        <v>2</v>
      </c>
      <c r="F377" s="2" t="str">
        <f>_xlfn.XLOOKUP(C377,customers!$A$1:$A$1001,customers!$B$1:$B$1001,"",0)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6">
        <f>INDEX(products!$A$1:$G$49,MATCH(orders!$D377,products!$A$1:$A$49,0),MATCH(orders!K$1,products!$A$1:$G$1,0))</f>
        <v>0.2</v>
      </c>
      <c r="L377" s="4">
        <f>INDEX(products!$A$1:$G$49,MATCH(orders!$D377,products!$A$1:$A$49,0),MATCH(orders!L$1,products!$A$1:$G$1,0))</f>
        <v>3.375</v>
      </c>
      <c r="M377" s="4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hidden="1" x14ac:dyDescent="0.3">
      <c r="A378" s="2" t="s">
        <v>2609</v>
      </c>
      <c r="B378" s="7">
        <v>44097</v>
      </c>
      <c r="C378" s="2" t="s">
        <v>2610</v>
      </c>
      <c r="D378" t="s">
        <v>6145</v>
      </c>
      <c r="E378" s="2">
        <v>1</v>
      </c>
      <c r="F378" s="2" t="str">
        <f>_xlfn.XLOOKUP(C378,customers!$A$1:$A$1001,customers!$B$1:$B$1001,"",0)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6">
        <f>INDEX(products!$A$1:$G$49,MATCH(orders!$D378,products!$A$1:$A$49,0),MATCH(orders!K$1,products!$A$1:$G$1,0))</f>
        <v>0.5</v>
      </c>
      <c r="L378" s="4">
        <f>INDEX(products!$A$1:$G$49,MATCH(orders!$D378,products!$A$1:$A$49,0),MATCH(orders!L$1,products!$A$1:$G$1,0))</f>
        <v>5.97</v>
      </c>
      <c r="M378" s="4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hidden="1" x14ac:dyDescent="0.3">
      <c r="A379" s="2" t="s">
        <v>2615</v>
      </c>
      <c r="B379" s="7">
        <v>43532</v>
      </c>
      <c r="C379" s="2" t="s">
        <v>2616</v>
      </c>
      <c r="D379" t="s">
        <v>6162</v>
      </c>
      <c r="E379" s="2">
        <v>3</v>
      </c>
      <c r="F379" s="2" t="str">
        <f>_xlfn.XLOOKUP(C379,customers!$A$1:$A$1001,customers!$B$1:$B$1001,"",0)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6">
        <f>INDEX(products!$A$1:$G$49,MATCH(orders!$D379,products!$A$1:$A$49,0),MATCH(orders!K$1,products!$A$1:$G$1,0))</f>
        <v>0.2</v>
      </c>
      <c r="L379" s="4">
        <f>INDEX(products!$A$1:$G$49,MATCH(orders!$D379,products!$A$1:$A$49,0),MATCH(orders!L$1,products!$A$1:$G$1,0))</f>
        <v>2.6849999999999996</v>
      </c>
      <c r="M379" s="4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hidden="1" x14ac:dyDescent="0.3">
      <c r="A380" s="2" t="s">
        <v>2621</v>
      </c>
      <c r="B380" s="7">
        <v>44377</v>
      </c>
      <c r="C380" s="2" t="s">
        <v>2622</v>
      </c>
      <c r="D380" t="s">
        <v>6179</v>
      </c>
      <c r="E380" s="2">
        <v>3</v>
      </c>
      <c r="F380" s="2" t="str">
        <f>_xlfn.XLOOKUP(C380,customers!$A$1:$A$1001,customers!$B$1:$B$1001,"",0)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6">
        <f>INDEX(products!$A$1:$G$49,MATCH(orders!$D380,products!$A$1:$A$49,0),MATCH(orders!K$1,products!$A$1:$G$1,0))</f>
        <v>0.5</v>
      </c>
      <c r="L380" s="4">
        <f>INDEX(products!$A$1:$G$49,MATCH(orders!$D380,products!$A$1:$A$49,0),MATCH(orders!L$1,products!$A$1:$G$1,0))</f>
        <v>7.77</v>
      </c>
      <c r="M380" s="4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hidden="1" x14ac:dyDescent="0.3">
      <c r="A381" s="2" t="s">
        <v>2627</v>
      </c>
      <c r="B381" s="7">
        <v>43690</v>
      </c>
      <c r="C381" s="2" t="s">
        <v>2628</v>
      </c>
      <c r="D381" t="s">
        <v>6172</v>
      </c>
      <c r="E381" s="2">
        <v>6</v>
      </c>
      <c r="F381" s="2" t="str">
        <f>_xlfn.XLOOKUP(C381,customers!$A$1:$A$1001,customers!$B$1:$B$1001,"",0)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6">
        <f>INDEX(products!$A$1:$G$49,MATCH(orders!$D381,products!$A$1:$A$49,0),MATCH(orders!K$1,products!$A$1:$G$1,0))</f>
        <v>0.5</v>
      </c>
      <c r="L381" s="4">
        <f>INDEX(products!$A$1:$G$49,MATCH(orders!$D381,products!$A$1:$A$49,0),MATCH(orders!L$1,products!$A$1:$G$1,0))</f>
        <v>7.169999999999999</v>
      </c>
      <c r="M381" s="4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hidden="1" x14ac:dyDescent="0.3">
      <c r="A382" s="2" t="s">
        <v>2632</v>
      </c>
      <c r="B382" s="7">
        <v>44249</v>
      </c>
      <c r="C382" s="2" t="s">
        <v>2331</v>
      </c>
      <c r="D382" t="s">
        <v>6168</v>
      </c>
      <c r="E382" s="2">
        <v>3</v>
      </c>
      <c r="F382" s="2" t="str">
        <f>_xlfn.XLOOKUP(C382,customers!$A$1:$A$1001,customers!$B$1:$B$1001,"",0)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6">
        <f>INDEX(products!$A$1:$G$49,MATCH(orders!$D382,products!$A$1:$A$49,0),MATCH(orders!K$1,products!$A$1:$G$1,0))</f>
        <v>0.5</v>
      </c>
      <c r="L382" s="4">
        <f>INDEX(products!$A$1:$G$49,MATCH(orders!$D382,products!$A$1:$A$49,0),MATCH(orders!L$1,products!$A$1:$G$1,0))</f>
        <v>7.77</v>
      </c>
      <c r="M382" s="4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3">
      <c r="A383" s="2" t="s">
        <v>2638</v>
      </c>
      <c r="B383" s="7">
        <v>44646</v>
      </c>
      <c r="C383" s="2" t="s">
        <v>2639</v>
      </c>
      <c r="D383" t="s">
        <v>6153</v>
      </c>
      <c r="E383" s="2">
        <v>5</v>
      </c>
      <c r="F383" s="2" t="str">
        <f>_xlfn.XLOOKUP(C383,customers!$A$1:$A$1001,customers!$B$1:$B$1001,"",0)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6">
        <f>INDEX(products!$A$1:$G$49,MATCH(orders!$D383,products!$A$1:$A$49,0),MATCH(orders!K$1,products!$A$1:$G$1,0))</f>
        <v>0.2</v>
      </c>
      <c r="L383" s="4">
        <f>INDEX(products!$A$1:$G$49,MATCH(orders!$D383,products!$A$1:$A$49,0),MATCH(orders!L$1,products!$A$1:$G$1,0))</f>
        <v>2.9849999999999999</v>
      </c>
      <c r="M383" s="4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hidden="1" x14ac:dyDescent="0.3">
      <c r="A384" s="2" t="s">
        <v>2644</v>
      </c>
      <c r="B384" s="7">
        <v>43840</v>
      </c>
      <c r="C384" s="2" t="s">
        <v>2645</v>
      </c>
      <c r="D384" t="s">
        <v>6143</v>
      </c>
      <c r="E384" s="2">
        <v>3</v>
      </c>
      <c r="F384" s="2" t="str">
        <f>_xlfn.XLOOKUP(C384,customers!$A$1:$A$1001,customers!$B$1:$B$1001,"",0)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6">
        <f>INDEX(products!$A$1:$G$49,MATCH(orders!$D384,products!$A$1:$A$49,0),MATCH(orders!K$1,products!$A$1:$G$1,0))</f>
        <v>0.5</v>
      </c>
      <c r="L384" s="4">
        <f>INDEX(products!$A$1:$G$49,MATCH(orders!$D384,products!$A$1:$A$49,0),MATCH(orders!L$1,products!$A$1:$G$1,0))</f>
        <v>7.29</v>
      </c>
      <c r="M384" s="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hidden="1" x14ac:dyDescent="0.3">
      <c r="A385" s="2" t="s">
        <v>2650</v>
      </c>
      <c r="B385" s="7">
        <v>43586</v>
      </c>
      <c r="C385" s="2" t="s">
        <v>2651</v>
      </c>
      <c r="D385" t="s">
        <v>6175</v>
      </c>
      <c r="E385" s="2">
        <v>6</v>
      </c>
      <c r="F385" s="2" t="str">
        <f>_xlfn.XLOOKUP(C385,customers!$A$1:$A$1001,customers!$B$1:$B$1001,"",0)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6">
        <f>INDEX(products!$A$1:$G$49,MATCH(orders!$D385,products!$A$1:$A$49,0),MATCH(orders!K$1,products!$A$1:$G$1,0))</f>
        <v>0.5</v>
      </c>
      <c r="L385" s="4">
        <f>INDEX(products!$A$1:$G$49,MATCH(orders!$D385,products!$A$1:$A$49,0),MATCH(orders!L$1,products!$A$1:$G$1,0))</f>
        <v>8.91</v>
      </c>
      <c r="M385" s="4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hidden="1" x14ac:dyDescent="0.3">
      <c r="A386" s="2" t="s">
        <v>2655</v>
      </c>
      <c r="B386" s="7">
        <v>43870</v>
      </c>
      <c r="C386" s="2" t="s">
        <v>2656</v>
      </c>
      <c r="D386" t="s">
        <v>6181</v>
      </c>
      <c r="E386" s="2">
        <v>4</v>
      </c>
      <c r="F386" s="2" t="str">
        <f>_xlfn.XLOOKUP(C386,customers!$A$1:$A$1001,customers!$B$1:$B$1001,"",0)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6">
        <f>INDEX(products!$A$1:$G$49,MATCH(orders!$D386,products!$A$1:$A$49,0),MATCH(orders!K$1,products!$A$1:$G$1,0))</f>
        <v>2.5</v>
      </c>
      <c r="L386" s="4">
        <f>INDEX(products!$A$1:$G$49,MATCH(orders!$D386,products!$A$1:$A$49,0),MATCH(orders!L$1,products!$A$1:$G$1,0))</f>
        <v>29.784999999999997</v>
      </c>
      <c r="M386" s="4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hidden="1" x14ac:dyDescent="0.3">
      <c r="A387" s="2" t="s">
        <v>2660</v>
      </c>
      <c r="B387" s="7">
        <v>44559</v>
      </c>
      <c r="C387" s="2" t="s">
        <v>2661</v>
      </c>
      <c r="D387" t="s">
        <v>6159</v>
      </c>
      <c r="E387" s="2">
        <v>5</v>
      </c>
      <c r="F387" s="2" t="str">
        <f>_xlfn.XLOOKUP(C387,customers!$A$1:$A$1001,customers!$B$1:$B$1001,"",0)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6">
        <f>INDEX(products!$A$1:$G$49,MATCH(orders!$D387,products!$A$1:$A$49,0),MATCH(orders!K$1,products!$A$1:$G$1,0))</f>
        <v>0.5</v>
      </c>
      <c r="L387" s="4">
        <f>INDEX(products!$A$1:$G$49,MATCH(orders!$D387,products!$A$1:$A$49,0),MATCH(orders!L$1,products!$A$1:$G$1,0))</f>
        <v>8.73</v>
      </c>
      <c r="M387" s="4">
        <f t="shared" ref="M387:M450" si="18">E387*L387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hidden="1" x14ac:dyDescent="0.3">
      <c r="A388" s="2" t="s">
        <v>2666</v>
      </c>
      <c r="B388" s="7">
        <v>44083</v>
      </c>
      <c r="C388" s="2" t="s">
        <v>2667</v>
      </c>
      <c r="D388" t="s">
        <v>6153</v>
      </c>
      <c r="E388" s="2">
        <v>6</v>
      </c>
      <c r="F388" s="2" t="str">
        <f>_xlfn.XLOOKUP(C388,customers!$A$1:$A$1001,customers!$B$1:$B$1001,"",0)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6">
        <f>INDEX(products!$A$1:$G$49,MATCH(orders!$D388,products!$A$1:$A$49,0),MATCH(orders!K$1,products!$A$1:$G$1,0))</f>
        <v>0.2</v>
      </c>
      <c r="L388" s="4">
        <f>INDEX(products!$A$1:$G$49,MATCH(orders!$D388,products!$A$1:$A$49,0),MATCH(orders!L$1,products!$A$1:$G$1,0))</f>
        <v>2.9849999999999999</v>
      </c>
      <c r="M388" s="4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hidden="1" x14ac:dyDescent="0.3">
      <c r="A389" s="2" t="s">
        <v>2671</v>
      </c>
      <c r="B389" s="7">
        <v>44455</v>
      </c>
      <c r="C389" s="2" t="s">
        <v>2672</v>
      </c>
      <c r="D389" t="s">
        <v>6170</v>
      </c>
      <c r="E389" s="2">
        <v>5</v>
      </c>
      <c r="F389" s="2" t="str">
        <f>_xlfn.XLOOKUP(C389,customers!$A$1:$A$1001,customers!$B$1:$B$1001,"",0)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6">
        <f>INDEX(products!$A$1:$G$49,MATCH(orders!$D389,products!$A$1:$A$49,0),MATCH(orders!K$1,products!$A$1:$G$1,0))</f>
        <v>1</v>
      </c>
      <c r="L389" s="4">
        <f>INDEX(products!$A$1:$G$49,MATCH(orders!$D389,products!$A$1:$A$49,0),MATCH(orders!L$1,products!$A$1:$G$1,0))</f>
        <v>14.85</v>
      </c>
      <c r="M389" s="4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hidden="1" x14ac:dyDescent="0.3">
      <c r="A390" s="2" t="s">
        <v>2677</v>
      </c>
      <c r="B390" s="7">
        <v>44130</v>
      </c>
      <c r="C390" s="2" t="s">
        <v>2678</v>
      </c>
      <c r="D390" t="s">
        <v>6149</v>
      </c>
      <c r="E390" s="2">
        <v>3</v>
      </c>
      <c r="F390" s="2" t="str">
        <f>_xlfn.XLOOKUP(C390,customers!$A$1:$A$1001,customers!$B$1:$B$1001,"",0)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6">
        <f>INDEX(products!$A$1:$G$49,MATCH(orders!$D390,products!$A$1:$A$49,0),MATCH(orders!K$1,products!$A$1:$G$1,0))</f>
        <v>0.2</v>
      </c>
      <c r="L390" s="4">
        <f>INDEX(products!$A$1:$G$49,MATCH(orders!$D390,products!$A$1:$A$49,0),MATCH(orders!L$1,products!$A$1:$G$1,0))</f>
        <v>3.8849999999999998</v>
      </c>
      <c r="M390" s="4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hidden="1" x14ac:dyDescent="0.3">
      <c r="A391" s="2" t="s">
        <v>2683</v>
      </c>
      <c r="B391" s="7">
        <v>43536</v>
      </c>
      <c r="C391" s="2" t="s">
        <v>2684</v>
      </c>
      <c r="D391" t="s">
        <v>6168</v>
      </c>
      <c r="E391" s="2">
        <v>3</v>
      </c>
      <c r="F391" s="2" t="str">
        <f>_xlfn.XLOOKUP(C391,customers!$A$1:$A$1001,customers!$B$1:$B$1001,"",0)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6">
        <f>INDEX(products!$A$1:$G$49,MATCH(orders!$D391,products!$A$1:$A$49,0),MATCH(orders!K$1,products!$A$1:$G$1,0))</f>
        <v>0.5</v>
      </c>
      <c r="L391" s="4">
        <f>INDEX(products!$A$1:$G$49,MATCH(orders!$D391,products!$A$1:$A$49,0),MATCH(orders!L$1,products!$A$1:$G$1,0))</f>
        <v>7.77</v>
      </c>
      <c r="M391" s="4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hidden="1" x14ac:dyDescent="0.3">
      <c r="A392" s="2" t="s">
        <v>2689</v>
      </c>
      <c r="B392" s="7">
        <v>44245</v>
      </c>
      <c r="C392" s="2" t="s">
        <v>2690</v>
      </c>
      <c r="D392" t="s">
        <v>6143</v>
      </c>
      <c r="E392" s="2">
        <v>2</v>
      </c>
      <c r="F392" s="2" t="str">
        <f>_xlfn.XLOOKUP(C392,customers!$A$1:$A$1001,customers!$B$1:$B$1001,"",0)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6">
        <f>INDEX(products!$A$1:$G$49,MATCH(orders!$D392,products!$A$1:$A$49,0),MATCH(orders!K$1,products!$A$1:$G$1,0))</f>
        <v>0.5</v>
      </c>
      <c r="L392" s="4">
        <f>INDEX(products!$A$1:$G$49,MATCH(orders!$D392,products!$A$1:$A$49,0),MATCH(orders!L$1,products!$A$1:$G$1,0))</f>
        <v>7.29</v>
      </c>
      <c r="M392" s="4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hidden="1" x14ac:dyDescent="0.3">
      <c r="A393" s="2" t="s">
        <v>2694</v>
      </c>
      <c r="B393" s="7">
        <v>44133</v>
      </c>
      <c r="C393" s="2" t="s">
        <v>2695</v>
      </c>
      <c r="D393" t="s">
        <v>6156</v>
      </c>
      <c r="E393" s="2">
        <v>2</v>
      </c>
      <c r="F393" s="2" t="str">
        <f>_xlfn.XLOOKUP(C393,customers!$A$1:$A$1001,customers!$B$1:$B$1001,"",0)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6">
        <f>INDEX(products!$A$1:$G$49,MATCH(orders!$D393,products!$A$1:$A$49,0),MATCH(orders!K$1,products!$A$1:$G$1,0))</f>
        <v>0.5</v>
      </c>
      <c r="L393" s="4">
        <f>INDEX(products!$A$1:$G$49,MATCH(orders!$D393,products!$A$1:$A$49,0),MATCH(orders!L$1,products!$A$1:$G$1,0))</f>
        <v>6.75</v>
      </c>
      <c r="M393" s="4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hidden="1" x14ac:dyDescent="0.3">
      <c r="A394" s="2" t="s">
        <v>2699</v>
      </c>
      <c r="B394" s="7">
        <v>44445</v>
      </c>
      <c r="C394" s="2" t="s">
        <v>2700</v>
      </c>
      <c r="D394" t="s">
        <v>6170</v>
      </c>
      <c r="E394" s="2">
        <v>6</v>
      </c>
      <c r="F394" s="2" t="str">
        <f>_xlfn.XLOOKUP(C394,customers!$A$1:$A$1001,customers!$B$1:$B$1001,"",0)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6">
        <f>INDEX(products!$A$1:$G$49,MATCH(orders!$D394,products!$A$1:$A$49,0),MATCH(orders!K$1,products!$A$1:$G$1,0))</f>
        <v>1</v>
      </c>
      <c r="L394" s="4">
        <f>INDEX(products!$A$1:$G$49,MATCH(orders!$D394,products!$A$1:$A$49,0),MATCH(orders!L$1,products!$A$1:$G$1,0))</f>
        <v>14.85</v>
      </c>
      <c r="M394" s="4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hidden="1" x14ac:dyDescent="0.3">
      <c r="A395" s="2" t="s">
        <v>2699</v>
      </c>
      <c r="B395" s="7">
        <v>44445</v>
      </c>
      <c r="C395" s="2" t="s">
        <v>2700</v>
      </c>
      <c r="D395" t="s">
        <v>6166</v>
      </c>
      <c r="E395" s="2">
        <v>1</v>
      </c>
      <c r="F395" s="2" t="str">
        <f>_xlfn.XLOOKUP(C395,customers!$A$1:$A$1001,customers!$B$1:$B$1001,"",0)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6">
        <f>INDEX(products!$A$1:$G$49,MATCH(orders!$D395,products!$A$1:$A$49,0),MATCH(orders!K$1,products!$A$1:$G$1,0))</f>
        <v>0.2</v>
      </c>
      <c r="L395" s="4">
        <f>INDEX(products!$A$1:$G$49,MATCH(orders!$D395,products!$A$1:$A$49,0),MATCH(orders!L$1,products!$A$1:$G$1,0))</f>
        <v>3.8849999999999998</v>
      </c>
      <c r="M395" s="4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hidden="1" x14ac:dyDescent="0.3">
      <c r="A396" s="2" t="s">
        <v>2710</v>
      </c>
      <c r="B396" s="7">
        <v>44083</v>
      </c>
      <c r="C396" s="2" t="s">
        <v>2711</v>
      </c>
      <c r="D396" t="s">
        <v>6141</v>
      </c>
      <c r="E396" s="2">
        <v>4</v>
      </c>
      <c r="F396" s="2" t="str">
        <f>_xlfn.XLOOKUP(C396,customers!$A$1:$A$1001,customers!$B$1:$B$1001,"",0)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6">
        <f>INDEX(products!$A$1:$G$49,MATCH(orders!$D396,products!$A$1:$A$49,0),MATCH(orders!K$1,products!$A$1:$G$1,0))</f>
        <v>2.5</v>
      </c>
      <c r="L396" s="4">
        <f>INDEX(products!$A$1:$G$49,MATCH(orders!$D396,products!$A$1:$A$49,0),MATCH(orders!L$1,products!$A$1:$G$1,0))</f>
        <v>27.484999999999996</v>
      </c>
      <c r="M396" s="4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hidden="1" x14ac:dyDescent="0.3">
      <c r="A397" s="2" t="s">
        <v>2716</v>
      </c>
      <c r="B397" s="7">
        <v>44465</v>
      </c>
      <c r="C397" s="2" t="s">
        <v>2717</v>
      </c>
      <c r="D397" t="s">
        <v>6168</v>
      </c>
      <c r="E397" s="2">
        <v>6</v>
      </c>
      <c r="F397" s="2" t="str">
        <f>_xlfn.XLOOKUP(C397,customers!$A$1:$A$1001,customers!$B$1:$B$1001,"",0)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6">
        <f>INDEX(products!$A$1:$G$49,MATCH(orders!$D397,products!$A$1:$A$49,0),MATCH(orders!K$1,products!$A$1:$G$1,0))</f>
        <v>0.5</v>
      </c>
      <c r="L397" s="4">
        <f>INDEX(products!$A$1:$G$49,MATCH(orders!$D397,products!$A$1:$A$49,0),MATCH(orders!L$1,products!$A$1:$G$1,0))</f>
        <v>7.77</v>
      </c>
      <c r="M397" s="4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hidden="1" x14ac:dyDescent="0.3">
      <c r="A398" s="2" t="s">
        <v>2721</v>
      </c>
      <c r="B398" s="7">
        <v>44140</v>
      </c>
      <c r="C398" s="2" t="s">
        <v>2722</v>
      </c>
      <c r="D398" t="s">
        <v>6179</v>
      </c>
      <c r="E398" s="2">
        <v>5</v>
      </c>
      <c r="F398" s="2" t="str">
        <f>_xlfn.XLOOKUP(C398,customers!$A$1:$A$1001,customers!$B$1:$B$1001,"",0)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6">
        <f>INDEX(products!$A$1:$G$49,MATCH(orders!$D398,products!$A$1:$A$49,0),MATCH(orders!K$1,products!$A$1:$G$1,0))</f>
        <v>0.5</v>
      </c>
      <c r="L398" s="4">
        <f>INDEX(products!$A$1:$G$49,MATCH(orders!$D398,products!$A$1:$A$49,0),MATCH(orders!L$1,products!$A$1:$G$1,0))</f>
        <v>7.77</v>
      </c>
      <c r="M398" s="4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hidden="1" x14ac:dyDescent="0.3">
      <c r="A399" s="2" t="s">
        <v>2727</v>
      </c>
      <c r="B399" s="7">
        <v>43720</v>
      </c>
      <c r="C399" s="2" t="s">
        <v>2728</v>
      </c>
      <c r="D399" t="s">
        <v>6168</v>
      </c>
      <c r="E399" s="2">
        <v>4</v>
      </c>
      <c r="F399" s="2" t="str">
        <f>_xlfn.XLOOKUP(C399,customers!$A$1:$A$1001,customers!$B$1:$B$1001,"",0)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6">
        <f>INDEX(products!$A$1:$G$49,MATCH(orders!$D399,products!$A$1:$A$49,0),MATCH(orders!K$1,products!$A$1:$G$1,0))</f>
        <v>0.5</v>
      </c>
      <c r="L399" s="4">
        <f>INDEX(products!$A$1:$G$49,MATCH(orders!$D399,products!$A$1:$A$49,0),MATCH(orders!L$1,products!$A$1:$G$1,0))</f>
        <v>7.77</v>
      </c>
      <c r="M399" s="4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hidden="1" x14ac:dyDescent="0.3">
      <c r="A400" s="2" t="s">
        <v>2733</v>
      </c>
      <c r="B400" s="7">
        <v>43677</v>
      </c>
      <c r="C400" s="2" t="s">
        <v>2734</v>
      </c>
      <c r="D400" t="s">
        <v>6153</v>
      </c>
      <c r="E400" s="2">
        <v>6</v>
      </c>
      <c r="F400" s="2" t="str">
        <f>_xlfn.XLOOKUP(C400,customers!$A$1:$A$1001,customers!$B$1:$B$1001,"",0)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6">
        <f>INDEX(products!$A$1:$G$49,MATCH(orders!$D400,products!$A$1:$A$49,0),MATCH(orders!K$1,products!$A$1:$G$1,0))</f>
        <v>0.2</v>
      </c>
      <c r="L400" s="4">
        <f>INDEX(products!$A$1:$G$49,MATCH(orders!$D400,products!$A$1:$A$49,0),MATCH(orders!L$1,products!$A$1:$G$1,0))</f>
        <v>2.9849999999999999</v>
      </c>
      <c r="M400" s="4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hidden="1" x14ac:dyDescent="0.3">
      <c r="A401" s="2" t="s">
        <v>2739</v>
      </c>
      <c r="B401" s="7">
        <v>43539</v>
      </c>
      <c r="C401" s="2" t="s">
        <v>2740</v>
      </c>
      <c r="D401" t="s">
        <v>6184</v>
      </c>
      <c r="E401" s="2">
        <v>6</v>
      </c>
      <c r="F401" s="2" t="str">
        <f>_xlfn.XLOOKUP(C401,customers!$A$1:$A$1001,customers!$B$1:$B$1001,"",0)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6">
        <f>INDEX(products!$A$1:$G$49,MATCH(orders!$D401,products!$A$1:$A$49,0),MATCH(orders!K$1,products!$A$1:$G$1,0))</f>
        <v>2.5</v>
      </c>
      <c r="L401" s="4">
        <f>INDEX(products!$A$1:$G$49,MATCH(orders!$D401,products!$A$1:$A$49,0),MATCH(orders!L$1,products!$A$1:$G$1,0))</f>
        <v>27.945</v>
      </c>
      <c r="M401" s="4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hidden="1" x14ac:dyDescent="0.3">
      <c r="A402" s="2" t="s">
        <v>2745</v>
      </c>
      <c r="B402" s="7">
        <v>44332</v>
      </c>
      <c r="C402" s="2" t="s">
        <v>2746</v>
      </c>
      <c r="D402" t="s">
        <v>6169</v>
      </c>
      <c r="E402" s="2">
        <v>4</v>
      </c>
      <c r="F402" s="2" t="str">
        <f>_xlfn.XLOOKUP(C402,customers!$A$1:$A$1001,customers!$B$1:$B$1001,"",0)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6">
        <f>INDEX(products!$A$1:$G$49,MATCH(orders!$D402,products!$A$1:$A$49,0),MATCH(orders!K$1,products!$A$1:$G$1,0))</f>
        <v>1</v>
      </c>
      <c r="L402" s="4">
        <f>INDEX(products!$A$1:$G$49,MATCH(orders!$D402,products!$A$1:$A$49,0),MATCH(orders!L$1,products!$A$1:$G$1,0))</f>
        <v>15.85</v>
      </c>
      <c r="M402" s="4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hidden="1" x14ac:dyDescent="0.3">
      <c r="A403" s="2" t="s">
        <v>2751</v>
      </c>
      <c r="B403" s="7">
        <v>43591</v>
      </c>
      <c r="C403" s="2" t="s">
        <v>2752</v>
      </c>
      <c r="D403" t="s">
        <v>6158</v>
      </c>
      <c r="E403" s="2">
        <v>2</v>
      </c>
      <c r="F403" s="2" t="str">
        <f>_xlfn.XLOOKUP(C403,customers!$A$1:$A$1001,customers!$B$1:$B$1001,"",0)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6">
        <f>INDEX(products!$A$1:$G$49,MATCH(orders!$D403,products!$A$1:$A$49,0),MATCH(orders!K$1,products!$A$1:$G$1,0))</f>
        <v>0.2</v>
      </c>
      <c r="L403" s="4">
        <f>INDEX(products!$A$1:$G$49,MATCH(orders!$D403,products!$A$1:$A$49,0),MATCH(orders!L$1,products!$A$1:$G$1,0))</f>
        <v>4.3650000000000002</v>
      </c>
      <c r="M403" s="4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hidden="1" x14ac:dyDescent="0.3">
      <c r="A404" s="2" t="s">
        <v>2757</v>
      </c>
      <c r="B404" s="7">
        <v>43502</v>
      </c>
      <c r="C404" s="2" t="s">
        <v>2758</v>
      </c>
      <c r="D404" t="s">
        <v>6176</v>
      </c>
      <c r="E404" s="2">
        <v>3</v>
      </c>
      <c r="F404" s="2" t="str">
        <f>_xlfn.XLOOKUP(C404,customers!$A$1:$A$1001,customers!$B$1:$B$1001,"",0)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6">
        <f>INDEX(products!$A$1:$G$49,MATCH(orders!$D404,products!$A$1:$A$49,0),MATCH(orders!K$1,products!$A$1:$G$1,0))</f>
        <v>1</v>
      </c>
      <c r="L404" s="4">
        <f>INDEX(products!$A$1:$G$49,MATCH(orders!$D404,products!$A$1:$A$49,0),MATCH(orders!L$1,products!$A$1:$G$1,0))</f>
        <v>8.9499999999999993</v>
      </c>
      <c r="M404" s="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hidden="1" x14ac:dyDescent="0.3">
      <c r="A405" s="2" t="s">
        <v>2763</v>
      </c>
      <c r="B405" s="7">
        <v>44295</v>
      </c>
      <c r="C405" s="2" t="s">
        <v>2764</v>
      </c>
      <c r="D405" t="s">
        <v>6144</v>
      </c>
      <c r="E405" s="2">
        <v>2</v>
      </c>
      <c r="F405" s="2" t="str">
        <f>_xlfn.XLOOKUP(C405,customers!$A$1:$A$1001,customers!$B$1:$B$1001,"",0)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6">
        <f>INDEX(products!$A$1:$G$49,MATCH(orders!$D405,products!$A$1:$A$49,0),MATCH(orders!K$1,products!$A$1:$G$1,0))</f>
        <v>0.2</v>
      </c>
      <c r="L405" s="4">
        <f>INDEX(products!$A$1:$G$49,MATCH(orders!$D405,products!$A$1:$A$49,0),MATCH(orders!L$1,products!$A$1:$G$1,0))</f>
        <v>4.7549999999999999</v>
      </c>
      <c r="M405" s="4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hidden="1" x14ac:dyDescent="0.3">
      <c r="A406" s="2" t="s">
        <v>2769</v>
      </c>
      <c r="B406" s="7">
        <v>43971</v>
      </c>
      <c r="C406" s="2" t="s">
        <v>2770</v>
      </c>
      <c r="D406" t="s">
        <v>6146</v>
      </c>
      <c r="E406" s="2">
        <v>4</v>
      </c>
      <c r="F406" s="2" t="str">
        <f>_xlfn.XLOOKUP(C406,customers!$A$1:$A$1001,customers!$B$1:$B$1001,"",0)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6">
        <f>INDEX(products!$A$1:$G$49,MATCH(orders!$D406,products!$A$1:$A$49,0),MATCH(orders!K$1,products!$A$1:$G$1,0))</f>
        <v>1</v>
      </c>
      <c r="L406" s="4">
        <f>INDEX(products!$A$1:$G$49,MATCH(orders!$D406,products!$A$1:$A$49,0),MATCH(orders!L$1,products!$A$1:$G$1,0))</f>
        <v>9.9499999999999993</v>
      </c>
      <c r="M406" s="4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hidden="1" x14ac:dyDescent="0.3">
      <c r="A407" s="2" t="s">
        <v>2775</v>
      </c>
      <c r="B407" s="7">
        <v>44167</v>
      </c>
      <c r="C407" s="2" t="s">
        <v>2776</v>
      </c>
      <c r="D407" t="s">
        <v>6138</v>
      </c>
      <c r="E407" s="2">
        <v>3</v>
      </c>
      <c r="F407" s="2" t="str">
        <f>_xlfn.XLOOKUP(C407,customers!$A$1:$A$1001,customers!$B$1:$B$1001,"",0)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6">
        <f>INDEX(products!$A$1:$G$49,MATCH(orders!$D407,products!$A$1:$A$49,0),MATCH(orders!K$1,products!$A$1:$G$1,0))</f>
        <v>0.5</v>
      </c>
      <c r="L407" s="4">
        <f>INDEX(products!$A$1:$G$49,MATCH(orders!$D407,products!$A$1:$A$49,0),MATCH(orders!L$1,products!$A$1:$G$1,0))</f>
        <v>8.25</v>
      </c>
      <c r="M407" s="4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hidden="1" x14ac:dyDescent="0.3">
      <c r="A408" s="2" t="s">
        <v>2781</v>
      </c>
      <c r="B408" s="7">
        <v>44416</v>
      </c>
      <c r="C408" s="2" t="s">
        <v>2782</v>
      </c>
      <c r="D408" t="s">
        <v>6140</v>
      </c>
      <c r="E408" s="2">
        <v>5</v>
      </c>
      <c r="F408" s="2" t="str">
        <f>_xlfn.XLOOKUP(C408,customers!$A$1:$A$1001,customers!$B$1:$B$1001,"",0)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6">
        <f>INDEX(products!$A$1:$G$49,MATCH(orders!$D408,products!$A$1:$A$49,0),MATCH(orders!K$1,products!$A$1:$G$1,0))</f>
        <v>1</v>
      </c>
      <c r="L408" s="4">
        <f>INDEX(products!$A$1:$G$49,MATCH(orders!$D408,products!$A$1:$A$49,0),MATCH(orders!L$1,products!$A$1:$G$1,0))</f>
        <v>13.75</v>
      </c>
      <c r="M408" s="4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3">
      <c r="A409" s="2" t="s">
        <v>2787</v>
      </c>
      <c r="B409" s="7">
        <v>44595</v>
      </c>
      <c r="C409" s="2" t="s">
        <v>2788</v>
      </c>
      <c r="D409" t="s">
        <v>6138</v>
      </c>
      <c r="E409" s="2">
        <v>6</v>
      </c>
      <c r="F409" s="2" t="str">
        <f>_xlfn.XLOOKUP(C409,customers!$A$1:$A$1001,customers!$B$1:$B$1001,"",0)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6">
        <f>INDEX(products!$A$1:$G$49,MATCH(orders!$D409,products!$A$1:$A$49,0),MATCH(orders!K$1,products!$A$1:$G$1,0))</f>
        <v>0.5</v>
      </c>
      <c r="L409" s="4">
        <f>INDEX(products!$A$1:$G$49,MATCH(orders!$D409,products!$A$1:$A$49,0),MATCH(orders!L$1,products!$A$1:$G$1,0))</f>
        <v>8.25</v>
      </c>
      <c r="M409" s="4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3">
      <c r="A410" s="2" t="s">
        <v>2792</v>
      </c>
      <c r="B410" s="7">
        <v>44659</v>
      </c>
      <c r="C410" s="2" t="s">
        <v>2793</v>
      </c>
      <c r="D410" t="s">
        <v>6174</v>
      </c>
      <c r="E410" s="2">
        <v>2</v>
      </c>
      <c r="F410" s="2" t="str">
        <f>_xlfn.XLOOKUP(C410,customers!$A$1:$A$1001,customers!$B$1:$B$1001,"",0)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6">
        <f>INDEX(products!$A$1:$G$49,MATCH(orders!$D410,products!$A$1:$A$49,0),MATCH(orders!K$1,products!$A$1:$G$1,0))</f>
        <v>2.5</v>
      </c>
      <c r="L410" s="4">
        <f>INDEX(products!$A$1:$G$49,MATCH(orders!$D410,products!$A$1:$A$49,0),MATCH(orders!L$1,products!$A$1:$G$1,0))</f>
        <v>25.874999999999996</v>
      </c>
      <c r="M410" s="4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hidden="1" x14ac:dyDescent="0.3">
      <c r="A411" s="2" t="s">
        <v>2798</v>
      </c>
      <c r="B411" s="7">
        <v>44203</v>
      </c>
      <c r="C411" s="2" t="s">
        <v>2799</v>
      </c>
      <c r="D411" t="s">
        <v>6169</v>
      </c>
      <c r="E411" s="2">
        <v>3</v>
      </c>
      <c r="F411" s="2" t="str">
        <f>_xlfn.XLOOKUP(C411,customers!$A$1:$A$1001,customers!$B$1:$B$1001,"",0)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6">
        <f>INDEX(products!$A$1:$G$49,MATCH(orders!$D411,products!$A$1:$A$49,0),MATCH(orders!K$1,products!$A$1:$G$1,0))</f>
        <v>1</v>
      </c>
      <c r="L411" s="4">
        <f>INDEX(products!$A$1:$G$49,MATCH(orders!$D411,products!$A$1:$A$49,0),MATCH(orders!L$1,products!$A$1:$G$1,0))</f>
        <v>15.85</v>
      </c>
      <c r="M411" s="4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hidden="1" x14ac:dyDescent="0.3">
      <c r="A412" s="2" t="s">
        <v>2803</v>
      </c>
      <c r="B412" s="7">
        <v>44441</v>
      </c>
      <c r="C412" s="2" t="s">
        <v>2804</v>
      </c>
      <c r="D412" t="s">
        <v>6166</v>
      </c>
      <c r="E412" s="2">
        <v>4</v>
      </c>
      <c r="F412" s="2" t="str">
        <f>_xlfn.XLOOKUP(C412,customers!$A$1:$A$1001,customers!$B$1:$B$1001,"",0)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6">
        <f>INDEX(products!$A$1:$G$49,MATCH(orders!$D412,products!$A$1:$A$49,0),MATCH(orders!K$1,products!$A$1:$G$1,0))</f>
        <v>0.2</v>
      </c>
      <c r="L412" s="4">
        <f>INDEX(products!$A$1:$G$49,MATCH(orders!$D412,products!$A$1:$A$49,0),MATCH(orders!L$1,products!$A$1:$G$1,0))</f>
        <v>3.8849999999999998</v>
      </c>
      <c r="M412" s="4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hidden="1" x14ac:dyDescent="0.3">
      <c r="A413" s="2" t="s">
        <v>2808</v>
      </c>
      <c r="B413" s="7">
        <v>44504</v>
      </c>
      <c r="C413" s="2" t="s">
        <v>2809</v>
      </c>
      <c r="D413" t="s">
        <v>6161</v>
      </c>
      <c r="E413" s="2">
        <v>6</v>
      </c>
      <c r="F413" s="2" t="str">
        <f>_xlfn.XLOOKUP(C413,customers!$A$1:$A$1001,customers!$B$1:$B$1001,"",0)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6">
        <f>INDEX(products!$A$1:$G$49,MATCH(orders!$D413,products!$A$1:$A$49,0),MATCH(orders!K$1,products!$A$1:$G$1,0))</f>
        <v>1</v>
      </c>
      <c r="L413" s="4">
        <f>INDEX(products!$A$1:$G$49,MATCH(orders!$D413,products!$A$1:$A$49,0),MATCH(orders!L$1,products!$A$1:$G$1,0))</f>
        <v>14.55</v>
      </c>
      <c r="M413" s="4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hidden="1" x14ac:dyDescent="0.3">
      <c r="A414" s="2" t="s">
        <v>2813</v>
      </c>
      <c r="B414" s="7">
        <v>44410</v>
      </c>
      <c r="C414" s="2" t="s">
        <v>2814</v>
      </c>
      <c r="D414" t="s">
        <v>6154</v>
      </c>
      <c r="E414" s="2">
        <v>5</v>
      </c>
      <c r="F414" s="2" t="str">
        <f>_xlfn.XLOOKUP(C414,customers!$A$1:$A$1001,customers!$B$1:$B$1001,"",0)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6">
        <f>INDEX(products!$A$1:$G$49,MATCH(orders!$D414,products!$A$1:$A$49,0),MATCH(orders!K$1,products!$A$1:$G$1,0))</f>
        <v>1</v>
      </c>
      <c r="L414" s="4">
        <f>INDEX(products!$A$1:$G$49,MATCH(orders!$D414,products!$A$1:$A$49,0),MATCH(orders!L$1,products!$A$1:$G$1,0))</f>
        <v>11.25</v>
      </c>
      <c r="M414" s="4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hidden="1" x14ac:dyDescent="0.3">
      <c r="A415" s="2" t="s">
        <v>2818</v>
      </c>
      <c r="B415" s="7">
        <v>43857</v>
      </c>
      <c r="C415" s="2" t="s">
        <v>2819</v>
      </c>
      <c r="D415" t="s">
        <v>6163</v>
      </c>
      <c r="E415" s="2">
        <v>1</v>
      </c>
      <c r="F415" s="2" t="str">
        <f>_xlfn.XLOOKUP(C415,customers!$A$1:$A$1001,customers!$B$1:$B$1001,"",0)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6">
        <f>INDEX(products!$A$1:$G$49,MATCH(orders!$D415,products!$A$1:$A$49,0),MATCH(orders!K$1,products!$A$1:$G$1,0))</f>
        <v>2.5</v>
      </c>
      <c r="L415" s="4">
        <f>INDEX(products!$A$1:$G$49,MATCH(orders!$D415,products!$A$1:$A$49,0),MATCH(orders!L$1,products!$A$1:$G$1,0))</f>
        <v>36.454999999999998</v>
      </c>
      <c r="M415" s="4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hidden="1" x14ac:dyDescent="0.3">
      <c r="A416" s="2" t="s">
        <v>2824</v>
      </c>
      <c r="B416" s="7">
        <v>43802</v>
      </c>
      <c r="C416" s="2" t="s">
        <v>2825</v>
      </c>
      <c r="D416" t="s">
        <v>6177</v>
      </c>
      <c r="E416" s="2">
        <v>3</v>
      </c>
      <c r="F416" s="2" t="str">
        <f>_xlfn.XLOOKUP(C416,customers!$A$1:$A$1001,customers!$B$1:$B$1001,"",0)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6">
        <f>INDEX(products!$A$1:$G$49,MATCH(orders!$D416,products!$A$1:$A$49,0),MATCH(orders!K$1,products!$A$1:$G$1,0))</f>
        <v>0.2</v>
      </c>
      <c r="L416" s="4">
        <f>INDEX(products!$A$1:$G$49,MATCH(orders!$D416,products!$A$1:$A$49,0),MATCH(orders!L$1,products!$A$1:$G$1,0))</f>
        <v>3.5849999999999995</v>
      </c>
      <c r="M416" s="4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hidden="1" x14ac:dyDescent="0.3">
      <c r="A417" s="2" t="s">
        <v>2829</v>
      </c>
      <c r="B417" s="7">
        <v>43683</v>
      </c>
      <c r="C417" s="2" t="s">
        <v>2830</v>
      </c>
      <c r="D417" t="s">
        <v>6173</v>
      </c>
      <c r="E417" s="2">
        <v>3</v>
      </c>
      <c r="F417" s="2" t="str">
        <f>_xlfn.XLOOKUP(C417,customers!$A$1:$A$1001,customers!$B$1:$B$1001,"",0)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6">
        <f>INDEX(products!$A$1:$G$49,MATCH(orders!$D417,products!$A$1:$A$49,0),MATCH(orders!K$1,products!$A$1:$G$1,0))</f>
        <v>0.2</v>
      </c>
      <c r="L417" s="4">
        <f>INDEX(products!$A$1:$G$49,MATCH(orders!$D417,products!$A$1:$A$49,0),MATCH(orders!L$1,products!$A$1:$G$1,0))</f>
        <v>2.9849999999999999</v>
      </c>
      <c r="M417" s="4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hidden="1" x14ac:dyDescent="0.3">
      <c r="A418" s="2" t="s">
        <v>2834</v>
      </c>
      <c r="B418" s="7">
        <v>43901</v>
      </c>
      <c r="C418" s="2" t="s">
        <v>2835</v>
      </c>
      <c r="D418" t="s">
        <v>6179</v>
      </c>
      <c r="E418" s="2">
        <v>3</v>
      </c>
      <c r="F418" s="2" t="str">
        <f>_xlfn.XLOOKUP(C418,customers!$A$1:$A$1001,customers!$B$1:$B$1001,"",0)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6">
        <f>INDEX(products!$A$1:$G$49,MATCH(orders!$D418,products!$A$1:$A$49,0),MATCH(orders!K$1,products!$A$1:$G$1,0))</f>
        <v>0.5</v>
      </c>
      <c r="L418" s="4">
        <f>INDEX(products!$A$1:$G$49,MATCH(orders!$D418,products!$A$1:$A$49,0),MATCH(orders!L$1,products!$A$1:$G$1,0))</f>
        <v>7.77</v>
      </c>
      <c r="M418" s="4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hidden="1" x14ac:dyDescent="0.3">
      <c r="A419" s="2" t="s">
        <v>2839</v>
      </c>
      <c r="B419" s="7">
        <v>44457</v>
      </c>
      <c r="C419" s="2" t="s">
        <v>2840</v>
      </c>
      <c r="D419" t="s">
        <v>6181</v>
      </c>
      <c r="E419" s="2">
        <v>1</v>
      </c>
      <c r="F419" s="2" t="str">
        <f>_xlfn.XLOOKUP(C419,customers!$A$1:$A$1001,customers!$B$1:$B$1001,"",0)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6">
        <f>INDEX(products!$A$1:$G$49,MATCH(orders!$D419,products!$A$1:$A$49,0),MATCH(orders!K$1,products!$A$1:$G$1,0))</f>
        <v>2.5</v>
      </c>
      <c r="L419" s="4">
        <f>INDEX(products!$A$1:$G$49,MATCH(orders!$D419,products!$A$1:$A$49,0),MATCH(orders!L$1,products!$A$1:$G$1,0))</f>
        <v>29.784999999999997</v>
      </c>
      <c r="M419" s="4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hidden="1" x14ac:dyDescent="0.3">
      <c r="A420" s="2" t="s">
        <v>2844</v>
      </c>
      <c r="B420" s="7">
        <v>44142</v>
      </c>
      <c r="C420" s="2" t="s">
        <v>2845</v>
      </c>
      <c r="D420" t="s">
        <v>6181</v>
      </c>
      <c r="E420" s="2">
        <v>5</v>
      </c>
      <c r="F420" s="2" t="str">
        <f>_xlfn.XLOOKUP(C420,customers!$A$1:$A$1001,customers!$B$1:$B$1001,"",0)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6">
        <f>INDEX(products!$A$1:$G$49,MATCH(orders!$D420,products!$A$1:$A$49,0),MATCH(orders!K$1,products!$A$1:$G$1,0))</f>
        <v>2.5</v>
      </c>
      <c r="L420" s="4">
        <f>INDEX(products!$A$1:$G$49,MATCH(orders!$D420,products!$A$1:$A$49,0),MATCH(orders!L$1,products!$A$1:$G$1,0))</f>
        <v>29.784999999999997</v>
      </c>
      <c r="M420" s="4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3">
      <c r="A421" s="2" t="s">
        <v>2849</v>
      </c>
      <c r="B421" s="7">
        <v>44739</v>
      </c>
      <c r="C421" s="2" t="s">
        <v>2850</v>
      </c>
      <c r="D421" t="s">
        <v>6159</v>
      </c>
      <c r="E421" s="2">
        <v>1</v>
      </c>
      <c r="F421" s="2" t="str">
        <f>_xlfn.XLOOKUP(C421,customers!$A$1:$A$1001,customers!$B$1:$B$1001,"",0)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6">
        <f>INDEX(products!$A$1:$G$49,MATCH(orders!$D421,products!$A$1:$A$49,0),MATCH(orders!K$1,products!$A$1:$G$1,0))</f>
        <v>0.5</v>
      </c>
      <c r="L421" s="4">
        <f>INDEX(products!$A$1:$G$49,MATCH(orders!$D421,products!$A$1:$A$49,0),MATCH(orders!L$1,products!$A$1:$G$1,0))</f>
        <v>8.73</v>
      </c>
      <c r="M421" s="4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hidden="1" x14ac:dyDescent="0.3">
      <c r="A422" s="2" t="s">
        <v>2855</v>
      </c>
      <c r="B422" s="7">
        <v>43866</v>
      </c>
      <c r="C422" s="2" t="s">
        <v>2586</v>
      </c>
      <c r="D422" t="s">
        <v>6168</v>
      </c>
      <c r="E422" s="2">
        <v>4</v>
      </c>
      <c r="F422" s="2" t="str">
        <f>_xlfn.XLOOKUP(C422,customers!$A$1:$A$1001,customers!$B$1:$B$1001,"",0)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6">
        <f>INDEX(products!$A$1:$G$49,MATCH(orders!$D422,products!$A$1:$A$49,0),MATCH(orders!K$1,products!$A$1:$G$1,0))</f>
        <v>0.5</v>
      </c>
      <c r="L422" s="4">
        <f>INDEX(products!$A$1:$G$49,MATCH(orders!$D422,products!$A$1:$A$49,0),MATCH(orders!L$1,products!$A$1:$G$1,0))</f>
        <v>7.77</v>
      </c>
      <c r="M422" s="4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hidden="1" x14ac:dyDescent="0.3">
      <c r="A423" s="2" t="s">
        <v>2855</v>
      </c>
      <c r="B423" s="7">
        <v>43866</v>
      </c>
      <c r="C423" s="2" t="s">
        <v>2586</v>
      </c>
      <c r="D423" t="s">
        <v>6167</v>
      </c>
      <c r="E423" s="2">
        <v>6</v>
      </c>
      <c r="F423" s="2" t="str">
        <f>_xlfn.XLOOKUP(C423,customers!$A$1:$A$1001,customers!$B$1:$B$1001,"",0)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6">
        <f>INDEX(products!$A$1:$G$49,MATCH(orders!$D423,products!$A$1:$A$49,0),MATCH(orders!K$1,products!$A$1:$G$1,0))</f>
        <v>2.5</v>
      </c>
      <c r="L423" s="4">
        <f>INDEX(products!$A$1:$G$49,MATCH(orders!$D423,products!$A$1:$A$49,0),MATCH(orders!L$1,products!$A$1:$G$1,0))</f>
        <v>22.884999999999998</v>
      </c>
      <c r="M423" s="4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hidden="1" x14ac:dyDescent="0.3">
      <c r="A424" s="2" t="s">
        <v>2866</v>
      </c>
      <c r="B424" s="7">
        <v>43868</v>
      </c>
      <c r="C424" s="2" t="s">
        <v>2867</v>
      </c>
      <c r="D424" t="s">
        <v>6157</v>
      </c>
      <c r="E424" s="2">
        <v>5</v>
      </c>
      <c r="F424" s="2" t="str">
        <f>_xlfn.XLOOKUP(C424,customers!$A$1:$A$1001,customers!$B$1:$B$1001,"",0)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6">
        <f>INDEX(products!$A$1:$G$49,MATCH(orders!$D424,products!$A$1:$A$49,0),MATCH(orders!K$1,products!$A$1:$G$1,0))</f>
        <v>0.5</v>
      </c>
      <c r="L424" s="4">
        <f>INDEX(products!$A$1:$G$49,MATCH(orders!$D424,products!$A$1:$A$49,0),MATCH(orders!L$1,products!$A$1:$G$1,0))</f>
        <v>5.97</v>
      </c>
      <c r="M424" s="4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hidden="1" x14ac:dyDescent="0.3">
      <c r="A425" s="2" t="s">
        <v>2871</v>
      </c>
      <c r="B425" s="7">
        <v>44183</v>
      </c>
      <c r="C425" s="2" t="s">
        <v>2872</v>
      </c>
      <c r="D425" t="s">
        <v>6145</v>
      </c>
      <c r="E425" s="2">
        <v>3</v>
      </c>
      <c r="F425" s="2" t="str">
        <f>_xlfn.XLOOKUP(C425,customers!$A$1:$A$1001,customers!$B$1:$B$1001,"",0)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6">
        <f>INDEX(products!$A$1:$G$49,MATCH(orders!$D425,products!$A$1:$A$49,0),MATCH(orders!K$1,products!$A$1:$G$1,0))</f>
        <v>0.5</v>
      </c>
      <c r="L425" s="4">
        <f>INDEX(products!$A$1:$G$49,MATCH(orders!$D425,products!$A$1:$A$49,0),MATCH(orders!L$1,products!$A$1:$G$1,0))</f>
        <v>5.97</v>
      </c>
      <c r="M425" s="4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hidden="1" x14ac:dyDescent="0.3">
      <c r="A426" s="2" t="s">
        <v>2876</v>
      </c>
      <c r="B426" s="7">
        <v>44431</v>
      </c>
      <c r="C426" s="2" t="s">
        <v>2877</v>
      </c>
      <c r="D426" t="s">
        <v>6175</v>
      </c>
      <c r="E426" s="2">
        <v>3</v>
      </c>
      <c r="F426" s="2" t="str">
        <f>_xlfn.XLOOKUP(C426,customers!$A$1:$A$1001,customers!$B$1:$B$1001,"",0)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6">
        <f>INDEX(products!$A$1:$G$49,MATCH(orders!$D426,products!$A$1:$A$49,0),MATCH(orders!K$1,products!$A$1:$G$1,0))</f>
        <v>0.5</v>
      </c>
      <c r="L426" s="4">
        <f>INDEX(products!$A$1:$G$49,MATCH(orders!$D426,products!$A$1:$A$49,0),MATCH(orders!L$1,products!$A$1:$G$1,0))</f>
        <v>8.91</v>
      </c>
      <c r="M426" s="4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hidden="1" x14ac:dyDescent="0.3">
      <c r="A427" s="2" t="s">
        <v>2882</v>
      </c>
      <c r="B427" s="7">
        <v>44428</v>
      </c>
      <c r="C427" s="2" t="s">
        <v>2883</v>
      </c>
      <c r="D427" t="s">
        <v>6176</v>
      </c>
      <c r="E427" s="2">
        <v>2</v>
      </c>
      <c r="F427" s="2" t="str">
        <f>_xlfn.XLOOKUP(C427,customers!$A$1:$A$1001,customers!$B$1:$B$1001,"",0)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6">
        <f>INDEX(products!$A$1:$G$49,MATCH(orders!$D427,products!$A$1:$A$49,0),MATCH(orders!K$1,products!$A$1:$G$1,0))</f>
        <v>1</v>
      </c>
      <c r="L427" s="4">
        <f>INDEX(products!$A$1:$G$49,MATCH(orders!$D427,products!$A$1:$A$49,0),MATCH(orders!L$1,products!$A$1:$G$1,0))</f>
        <v>8.9499999999999993</v>
      </c>
      <c r="M427" s="4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hidden="1" x14ac:dyDescent="0.3">
      <c r="A428" s="2" t="s">
        <v>2888</v>
      </c>
      <c r="B428" s="7">
        <v>43556</v>
      </c>
      <c r="C428" s="2" t="s">
        <v>2889</v>
      </c>
      <c r="D428" t="s">
        <v>6177</v>
      </c>
      <c r="E428" s="2">
        <v>4</v>
      </c>
      <c r="F428" s="2" t="str">
        <f>_xlfn.XLOOKUP(C428,customers!$A$1:$A$1001,customers!$B$1:$B$1001,"",0)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6">
        <f>INDEX(products!$A$1:$G$49,MATCH(orders!$D428,products!$A$1:$A$49,0),MATCH(orders!K$1,products!$A$1:$G$1,0))</f>
        <v>0.2</v>
      </c>
      <c r="L428" s="4">
        <f>INDEX(products!$A$1:$G$49,MATCH(orders!$D428,products!$A$1:$A$49,0),MATCH(orders!L$1,products!$A$1:$G$1,0))</f>
        <v>3.5849999999999995</v>
      </c>
      <c r="M428" s="4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hidden="1" x14ac:dyDescent="0.3">
      <c r="A429" s="2" t="s">
        <v>2894</v>
      </c>
      <c r="B429" s="7">
        <v>44224</v>
      </c>
      <c r="C429" s="2" t="s">
        <v>2895</v>
      </c>
      <c r="D429" t="s">
        <v>6174</v>
      </c>
      <c r="E429" s="2">
        <v>3</v>
      </c>
      <c r="F429" s="2" t="str">
        <f>_xlfn.XLOOKUP(C429,customers!$A$1:$A$1001,customers!$B$1:$B$1001,"",0)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6">
        <f>INDEX(products!$A$1:$G$49,MATCH(orders!$D429,products!$A$1:$A$49,0),MATCH(orders!K$1,products!$A$1:$G$1,0))</f>
        <v>2.5</v>
      </c>
      <c r="L429" s="4">
        <f>INDEX(products!$A$1:$G$49,MATCH(orders!$D429,products!$A$1:$A$49,0),MATCH(orders!L$1,products!$A$1:$G$1,0))</f>
        <v>25.874999999999996</v>
      </c>
      <c r="M429" s="4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hidden="1" x14ac:dyDescent="0.3">
      <c r="A430" s="2" t="s">
        <v>2899</v>
      </c>
      <c r="B430" s="7">
        <v>43759</v>
      </c>
      <c r="C430" s="2" t="s">
        <v>2900</v>
      </c>
      <c r="D430" t="s">
        <v>6178</v>
      </c>
      <c r="E430" s="2">
        <v>5</v>
      </c>
      <c r="F430" s="2" t="str">
        <f>_xlfn.XLOOKUP(C430,customers!$A$1:$A$1001,customers!$B$1:$B$1001,"",0)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6">
        <f>INDEX(products!$A$1:$G$49,MATCH(orders!$D430,products!$A$1:$A$49,0),MATCH(orders!K$1,products!$A$1:$G$1,0))</f>
        <v>1</v>
      </c>
      <c r="L430" s="4">
        <f>INDEX(products!$A$1:$G$49,MATCH(orders!$D430,products!$A$1:$A$49,0),MATCH(orders!L$1,products!$A$1:$G$1,0))</f>
        <v>11.95</v>
      </c>
      <c r="M430" s="4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hidden="1" x14ac:dyDescent="0.3">
      <c r="A431" s="2" t="s">
        <v>2905</v>
      </c>
      <c r="B431" s="7">
        <v>44367</v>
      </c>
      <c r="C431" s="2" t="s">
        <v>2586</v>
      </c>
      <c r="D431" t="s">
        <v>6139</v>
      </c>
      <c r="E431" s="2">
        <v>6</v>
      </c>
      <c r="F431" s="2" t="str">
        <f>_xlfn.XLOOKUP(C431,customers!$A$1:$A$1001,customers!$B$1:$B$1001,"",0)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6">
        <f>INDEX(products!$A$1:$G$49,MATCH(orders!$D431,products!$A$1:$A$49,0),MATCH(orders!K$1,products!$A$1:$G$1,0))</f>
        <v>1</v>
      </c>
      <c r="L431" s="4">
        <f>INDEX(products!$A$1:$G$49,MATCH(orders!$D431,products!$A$1:$A$49,0),MATCH(orders!L$1,products!$A$1:$G$1,0))</f>
        <v>12.95</v>
      </c>
      <c r="M431" s="4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hidden="1" x14ac:dyDescent="0.3">
      <c r="A432" s="2" t="s">
        <v>2911</v>
      </c>
      <c r="B432" s="7">
        <v>44504</v>
      </c>
      <c r="C432" s="2" t="s">
        <v>2912</v>
      </c>
      <c r="D432" t="s">
        <v>6162</v>
      </c>
      <c r="E432" s="2">
        <v>2</v>
      </c>
      <c r="F432" s="2" t="str">
        <f>_xlfn.XLOOKUP(C432,customers!$A$1:$A$1001,customers!$B$1:$B$1001,"",0)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6">
        <f>INDEX(products!$A$1:$G$49,MATCH(orders!$D432,products!$A$1:$A$49,0),MATCH(orders!K$1,products!$A$1:$G$1,0))</f>
        <v>0.2</v>
      </c>
      <c r="L432" s="4">
        <f>INDEX(products!$A$1:$G$49,MATCH(orders!$D432,products!$A$1:$A$49,0),MATCH(orders!L$1,products!$A$1:$G$1,0))</f>
        <v>2.6849999999999996</v>
      </c>
      <c r="M432" s="4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hidden="1" x14ac:dyDescent="0.3">
      <c r="A433" s="2" t="s">
        <v>2917</v>
      </c>
      <c r="B433" s="7">
        <v>44291</v>
      </c>
      <c r="C433" s="2" t="s">
        <v>2918</v>
      </c>
      <c r="D433" t="s">
        <v>6184</v>
      </c>
      <c r="E433" s="2">
        <v>3</v>
      </c>
      <c r="F433" s="2" t="str">
        <f>_xlfn.XLOOKUP(C433,customers!$A$1:$A$1001,customers!$B$1:$B$1001,"",0)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6">
        <f>INDEX(products!$A$1:$G$49,MATCH(orders!$D433,products!$A$1:$A$49,0),MATCH(orders!K$1,products!$A$1:$G$1,0))</f>
        <v>2.5</v>
      </c>
      <c r="L433" s="4">
        <f>INDEX(products!$A$1:$G$49,MATCH(orders!$D433,products!$A$1:$A$49,0),MATCH(orders!L$1,products!$A$1:$G$1,0))</f>
        <v>27.945</v>
      </c>
      <c r="M433" s="4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hidden="1" x14ac:dyDescent="0.3">
      <c r="A434" s="2" t="s">
        <v>2923</v>
      </c>
      <c r="B434" s="7">
        <v>43808</v>
      </c>
      <c r="C434" s="2" t="s">
        <v>2924</v>
      </c>
      <c r="D434" t="s">
        <v>6154</v>
      </c>
      <c r="E434" s="2">
        <v>2</v>
      </c>
      <c r="F434" s="2" t="str">
        <f>_xlfn.XLOOKUP(C434,customers!$A$1:$A$1001,customers!$B$1:$B$1001,"",0)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6">
        <f>INDEX(products!$A$1:$G$49,MATCH(orders!$D434,products!$A$1:$A$49,0),MATCH(orders!K$1,products!$A$1:$G$1,0))</f>
        <v>1</v>
      </c>
      <c r="L434" s="4">
        <f>INDEX(products!$A$1:$G$49,MATCH(orders!$D434,products!$A$1:$A$49,0),MATCH(orders!L$1,products!$A$1:$G$1,0))</f>
        <v>11.25</v>
      </c>
      <c r="M434" s="4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3">
      <c r="A435" s="2" t="s">
        <v>2928</v>
      </c>
      <c r="B435" s="7">
        <v>44563</v>
      </c>
      <c r="C435" s="2" t="s">
        <v>2929</v>
      </c>
      <c r="D435" t="s">
        <v>6180</v>
      </c>
      <c r="E435" s="2">
        <v>6</v>
      </c>
      <c r="F435" s="2" t="str">
        <f>_xlfn.XLOOKUP(C435,customers!$A$1:$A$1001,customers!$B$1:$B$1001,"",0)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6">
        <f>INDEX(products!$A$1:$G$49,MATCH(orders!$D435,products!$A$1:$A$49,0),MATCH(orders!K$1,products!$A$1:$G$1,0))</f>
        <v>2.5</v>
      </c>
      <c r="L435" s="4">
        <f>INDEX(products!$A$1:$G$49,MATCH(orders!$D435,products!$A$1:$A$49,0),MATCH(orders!L$1,products!$A$1:$G$1,0))</f>
        <v>33.464999999999996</v>
      </c>
      <c r="M435" s="4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hidden="1" x14ac:dyDescent="0.3">
      <c r="A436" s="2" t="s">
        <v>2934</v>
      </c>
      <c r="B436" s="7">
        <v>43807</v>
      </c>
      <c r="C436" s="2" t="s">
        <v>2935</v>
      </c>
      <c r="D436" t="s">
        <v>6154</v>
      </c>
      <c r="E436" s="2">
        <v>6</v>
      </c>
      <c r="F436" s="2" t="str">
        <f>_xlfn.XLOOKUP(C436,customers!$A$1:$A$1001,customers!$B$1:$B$1001,"",0)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6">
        <f>INDEX(products!$A$1:$G$49,MATCH(orders!$D436,products!$A$1:$A$49,0),MATCH(orders!K$1,products!$A$1:$G$1,0))</f>
        <v>1</v>
      </c>
      <c r="L436" s="4">
        <f>INDEX(products!$A$1:$G$49,MATCH(orders!$D436,products!$A$1:$A$49,0),MATCH(orders!L$1,products!$A$1:$G$1,0))</f>
        <v>11.25</v>
      </c>
      <c r="M436" s="4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hidden="1" x14ac:dyDescent="0.3">
      <c r="A437" s="2" t="s">
        <v>2939</v>
      </c>
      <c r="B437" s="7">
        <v>44528</v>
      </c>
      <c r="C437" s="2" t="s">
        <v>2940</v>
      </c>
      <c r="D437" t="s">
        <v>6138</v>
      </c>
      <c r="E437" s="2">
        <v>1</v>
      </c>
      <c r="F437" s="2" t="str">
        <f>_xlfn.XLOOKUP(C437,customers!$A$1:$A$1001,customers!$B$1:$B$1001,"",0)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6">
        <f>INDEX(products!$A$1:$G$49,MATCH(orders!$D437,products!$A$1:$A$49,0),MATCH(orders!K$1,products!$A$1:$G$1,0))</f>
        <v>0.5</v>
      </c>
      <c r="L437" s="4">
        <f>INDEX(products!$A$1:$G$49,MATCH(orders!$D437,products!$A$1:$A$49,0),MATCH(orders!L$1,products!$A$1:$G$1,0))</f>
        <v>8.25</v>
      </c>
      <c r="M437" s="4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3">
      <c r="A438" s="2" t="s">
        <v>2945</v>
      </c>
      <c r="B438" s="7">
        <v>44631</v>
      </c>
      <c r="C438" s="2" t="s">
        <v>2946</v>
      </c>
      <c r="D438" t="s">
        <v>6144</v>
      </c>
      <c r="E438" s="2">
        <v>2</v>
      </c>
      <c r="F438" s="2" t="str">
        <f>_xlfn.XLOOKUP(C438,customers!$A$1:$A$1001,customers!$B$1:$B$1001,"",0)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6">
        <f>INDEX(products!$A$1:$G$49,MATCH(orders!$D438,products!$A$1:$A$49,0),MATCH(orders!K$1,products!$A$1:$G$1,0))</f>
        <v>0.2</v>
      </c>
      <c r="L438" s="4">
        <f>INDEX(products!$A$1:$G$49,MATCH(orders!$D438,products!$A$1:$A$49,0),MATCH(orders!L$1,products!$A$1:$G$1,0))</f>
        <v>4.7549999999999999</v>
      </c>
      <c r="M438" s="4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hidden="1" x14ac:dyDescent="0.3">
      <c r="A439" s="2" t="s">
        <v>2951</v>
      </c>
      <c r="B439" s="7">
        <v>44213</v>
      </c>
      <c r="C439" s="2" t="s">
        <v>2952</v>
      </c>
      <c r="D439" t="s">
        <v>6164</v>
      </c>
      <c r="E439" s="2">
        <v>1</v>
      </c>
      <c r="F439" s="2" t="str">
        <f>_xlfn.XLOOKUP(C439,customers!$A$1:$A$1001,customers!$B$1:$B$1001,"",0)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6">
        <f>INDEX(products!$A$1:$G$49,MATCH(orders!$D439,products!$A$1:$A$49,0),MATCH(orders!K$1,products!$A$1:$G$1,0))</f>
        <v>2.5</v>
      </c>
      <c r="L439" s="4">
        <f>INDEX(products!$A$1:$G$49,MATCH(orders!$D439,products!$A$1:$A$49,0),MATCH(orders!L$1,products!$A$1:$G$1,0))</f>
        <v>29.784999999999997</v>
      </c>
      <c r="M439" s="4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hidden="1" x14ac:dyDescent="0.3">
      <c r="A440" s="2" t="s">
        <v>2956</v>
      </c>
      <c r="B440" s="7">
        <v>43483</v>
      </c>
      <c r="C440" s="2" t="s">
        <v>3042</v>
      </c>
      <c r="D440" t="s">
        <v>6168</v>
      </c>
      <c r="E440" s="2">
        <v>2</v>
      </c>
      <c r="F440" s="2" t="str">
        <f>_xlfn.XLOOKUP(C440,customers!$A$1:$A$1001,customers!$B$1:$B$1001,"",0)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6">
        <f>INDEX(products!$A$1:$G$49,MATCH(orders!$D440,products!$A$1:$A$49,0),MATCH(orders!K$1,products!$A$1:$G$1,0))</f>
        <v>0.5</v>
      </c>
      <c r="L440" s="4">
        <f>INDEX(products!$A$1:$G$49,MATCH(orders!$D440,products!$A$1:$A$49,0),MATCH(orders!L$1,products!$A$1:$G$1,0))</f>
        <v>7.77</v>
      </c>
      <c r="M440" s="4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hidden="1" x14ac:dyDescent="0.3">
      <c r="A441" s="2" t="s">
        <v>2962</v>
      </c>
      <c r="B441" s="7">
        <v>43562</v>
      </c>
      <c r="C441" s="2" t="s">
        <v>2963</v>
      </c>
      <c r="D441" t="s">
        <v>6175</v>
      </c>
      <c r="E441" s="2">
        <v>4</v>
      </c>
      <c r="F441" s="2" t="str">
        <f>_xlfn.XLOOKUP(C441,customers!$A$1:$A$1001,customers!$B$1:$B$1001,"",0)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6">
        <f>INDEX(products!$A$1:$G$49,MATCH(orders!$D441,products!$A$1:$A$49,0),MATCH(orders!K$1,products!$A$1:$G$1,0))</f>
        <v>0.5</v>
      </c>
      <c r="L441" s="4">
        <f>INDEX(products!$A$1:$G$49,MATCH(orders!$D441,products!$A$1:$A$49,0),MATCH(orders!L$1,products!$A$1:$G$1,0))</f>
        <v>8.91</v>
      </c>
      <c r="M441" s="4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hidden="1" x14ac:dyDescent="0.3">
      <c r="A442" s="2" t="s">
        <v>2968</v>
      </c>
      <c r="B442" s="7">
        <v>44230</v>
      </c>
      <c r="C442" s="2" t="s">
        <v>2969</v>
      </c>
      <c r="D442" t="s">
        <v>6174</v>
      </c>
      <c r="E442" s="2">
        <v>4</v>
      </c>
      <c r="F442" s="2" t="str">
        <f>_xlfn.XLOOKUP(C442,customers!$A$1:$A$1001,customers!$B$1:$B$1001,"",0)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6">
        <f>INDEX(products!$A$1:$G$49,MATCH(orders!$D442,products!$A$1:$A$49,0),MATCH(orders!K$1,products!$A$1:$G$1,0))</f>
        <v>2.5</v>
      </c>
      <c r="L442" s="4">
        <f>INDEX(products!$A$1:$G$49,MATCH(orders!$D442,products!$A$1:$A$49,0),MATCH(orders!L$1,products!$A$1:$G$1,0))</f>
        <v>25.874999999999996</v>
      </c>
      <c r="M442" s="4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hidden="1" x14ac:dyDescent="0.3">
      <c r="A443" s="2" t="s">
        <v>2974</v>
      </c>
      <c r="B443" s="7">
        <v>43573</v>
      </c>
      <c r="C443" s="2" t="s">
        <v>2975</v>
      </c>
      <c r="D443" t="s">
        <v>6182</v>
      </c>
      <c r="E443" s="2">
        <v>3</v>
      </c>
      <c r="F443" s="2" t="str">
        <f>_xlfn.XLOOKUP(C443,customers!$A$1:$A$1001,customers!$B$1:$B$1001,"",0)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6">
        <f>INDEX(products!$A$1:$G$49,MATCH(orders!$D443,products!$A$1:$A$49,0),MATCH(orders!K$1,products!$A$1:$G$1,0))</f>
        <v>1</v>
      </c>
      <c r="L443" s="4">
        <f>INDEX(products!$A$1:$G$49,MATCH(orders!$D443,products!$A$1:$A$49,0),MATCH(orders!L$1,products!$A$1:$G$1,0))</f>
        <v>12.15</v>
      </c>
      <c r="M443" s="4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hidden="1" x14ac:dyDescent="0.3">
      <c r="A444" s="2" t="s">
        <v>2980</v>
      </c>
      <c r="B444" s="7">
        <v>44384</v>
      </c>
      <c r="C444" s="2" t="s">
        <v>2981</v>
      </c>
      <c r="D444" t="s">
        <v>6172</v>
      </c>
      <c r="E444" s="2">
        <v>5</v>
      </c>
      <c r="F444" s="2" t="str">
        <f>_xlfn.XLOOKUP(C444,customers!$A$1:$A$1001,customers!$B$1:$B$1001,"",0)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6">
        <f>INDEX(products!$A$1:$G$49,MATCH(orders!$D444,products!$A$1:$A$49,0),MATCH(orders!K$1,products!$A$1:$G$1,0))</f>
        <v>0.5</v>
      </c>
      <c r="L444" s="4">
        <f>INDEX(products!$A$1:$G$49,MATCH(orders!$D444,products!$A$1:$A$49,0),MATCH(orders!L$1,products!$A$1:$G$1,0))</f>
        <v>7.169999999999999</v>
      </c>
      <c r="M444" s="4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hidden="1" x14ac:dyDescent="0.3">
      <c r="A445" s="2" t="s">
        <v>2986</v>
      </c>
      <c r="B445" s="7">
        <v>44250</v>
      </c>
      <c r="C445" s="2" t="s">
        <v>2987</v>
      </c>
      <c r="D445" t="s">
        <v>6183</v>
      </c>
      <c r="E445" s="2">
        <v>5</v>
      </c>
      <c r="F445" s="2" t="str">
        <f>_xlfn.XLOOKUP(C445,customers!$A$1:$A$1001,customers!$B$1:$B$1001,"",0)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6">
        <f>INDEX(products!$A$1:$G$49,MATCH(orders!$D445,products!$A$1:$A$49,0),MATCH(orders!K$1,products!$A$1:$G$1,0))</f>
        <v>0.2</v>
      </c>
      <c r="L445" s="4">
        <f>INDEX(products!$A$1:$G$49,MATCH(orders!$D445,products!$A$1:$A$49,0),MATCH(orders!L$1,products!$A$1:$G$1,0))</f>
        <v>4.4550000000000001</v>
      </c>
      <c r="M445" s="4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hidden="1" x14ac:dyDescent="0.3">
      <c r="A446" s="2" t="s">
        <v>2992</v>
      </c>
      <c r="B446" s="7">
        <v>44418</v>
      </c>
      <c r="C446" s="2" t="s">
        <v>2993</v>
      </c>
      <c r="D446" t="s">
        <v>6155</v>
      </c>
      <c r="E446" s="2">
        <v>6</v>
      </c>
      <c r="F446" s="2" t="str">
        <f>_xlfn.XLOOKUP(C446,customers!$A$1:$A$1001,customers!$B$1:$B$1001,"",0)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6">
        <f>INDEX(products!$A$1:$G$49,MATCH(orders!$D446,products!$A$1:$A$49,0),MATCH(orders!K$1,products!$A$1:$G$1,0))</f>
        <v>0.2</v>
      </c>
      <c r="L446" s="4">
        <f>INDEX(products!$A$1:$G$49,MATCH(orders!$D446,products!$A$1:$A$49,0),MATCH(orders!L$1,products!$A$1:$G$1,0))</f>
        <v>4.125</v>
      </c>
      <c r="M446" s="4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hidden="1" x14ac:dyDescent="0.3">
      <c r="A447" s="2" t="s">
        <v>2999</v>
      </c>
      <c r="B447" s="7">
        <v>43784</v>
      </c>
      <c r="C447" s="2" t="s">
        <v>3000</v>
      </c>
      <c r="D447" t="s">
        <v>6180</v>
      </c>
      <c r="E447" s="2">
        <v>2</v>
      </c>
      <c r="F447" s="2" t="str">
        <f>_xlfn.XLOOKUP(C447,customers!$A$1:$A$1001,customers!$B$1:$B$1001,"",0)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6">
        <f>INDEX(products!$A$1:$G$49,MATCH(orders!$D447,products!$A$1:$A$49,0),MATCH(orders!K$1,products!$A$1:$G$1,0))</f>
        <v>2.5</v>
      </c>
      <c r="L447" s="4">
        <f>INDEX(products!$A$1:$G$49,MATCH(orders!$D447,products!$A$1:$A$49,0),MATCH(orders!L$1,products!$A$1:$G$1,0))</f>
        <v>33.464999999999996</v>
      </c>
      <c r="M447" s="4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hidden="1" x14ac:dyDescent="0.3">
      <c r="A448" s="2" t="s">
        <v>3004</v>
      </c>
      <c r="B448" s="7">
        <v>43816</v>
      </c>
      <c r="C448" s="2" t="s">
        <v>3005</v>
      </c>
      <c r="D448" t="s">
        <v>6159</v>
      </c>
      <c r="E448" s="2">
        <v>1</v>
      </c>
      <c r="F448" s="2" t="str">
        <f>_xlfn.XLOOKUP(C448,customers!$A$1:$A$1001,customers!$B$1:$B$1001,"",0)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6">
        <f>INDEX(products!$A$1:$G$49,MATCH(orders!$D448,products!$A$1:$A$49,0),MATCH(orders!K$1,products!$A$1:$G$1,0))</f>
        <v>0.5</v>
      </c>
      <c r="L448" s="4">
        <f>INDEX(products!$A$1:$G$49,MATCH(orders!$D448,products!$A$1:$A$49,0),MATCH(orders!L$1,products!$A$1:$G$1,0))</f>
        <v>8.73</v>
      </c>
      <c r="M448" s="4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hidden="1" x14ac:dyDescent="0.3">
      <c r="A449" s="2" t="s">
        <v>3010</v>
      </c>
      <c r="B449" s="7">
        <v>43908</v>
      </c>
      <c r="C449" s="2" t="s">
        <v>3011</v>
      </c>
      <c r="D449" t="s">
        <v>6145</v>
      </c>
      <c r="E449" s="2">
        <v>3</v>
      </c>
      <c r="F449" s="2" t="str">
        <f>_xlfn.XLOOKUP(C449,customers!$A$1:$A$1001,customers!$B$1:$B$1001,"",0)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6">
        <f>INDEX(products!$A$1:$G$49,MATCH(orders!$D449,products!$A$1:$A$49,0),MATCH(orders!K$1,products!$A$1:$G$1,0))</f>
        <v>0.5</v>
      </c>
      <c r="L449" s="4">
        <f>INDEX(products!$A$1:$G$49,MATCH(orders!$D449,products!$A$1:$A$49,0),MATCH(orders!L$1,products!$A$1:$G$1,0))</f>
        <v>5.97</v>
      </c>
      <c r="M449" s="4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3">
      <c r="A450" s="2" t="s">
        <v>3015</v>
      </c>
      <c r="B450" s="7">
        <v>44718</v>
      </c>
      <c r="C450" s="2" t="s">
        <v>3016</v>
      </c>
      <c r="D450" t="s">
        <v>6172</v>
      </c>
      <c r="E450" s="2">
        <v>1</v>
      </c>
      <c r="F450" s="2" t="str">
        <f>_xlfn.XLOOKUP(C450,customers!$A$1:$A$1001,customers!$B$1:$B$1001,"",0)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6">
        <f>INDEX(products!$A$1:$G$49,MATCH(orders!$D450,products!$A$1:$A$49,0),MATCH(orders!K$1,products!$A$1:$G$1,0))</f>
        <v>0.5</v>
      </c>
      <c r="L450" s="4">
        <f>INDEX(products!$A$1:$G$49,MATCH(orders!$D450,products!$A$1:$A$49,0),MATCH(orders!L$1,products!$A$1:$G$1,0))</f>
        <v>7.169999999999999</v>
      </c>
      <c r="M450" s="4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hidden="1" x14ac:dyDescent="0.3">
      <c r="A451" s="2" t="s">
        <v>3021</v>
      </c>
      <c r="B451" s="7">
        <v>44336</v>
      </c>
      <c r="C451" s="2" t="s">
        <v>3022</v>
      </c>
      <c r="D451" t="s">
        <v>6162</v>
      </c>
      <c r="E451" s="2">
        <v>2</v>
      </c>
      <c r="F451" s="2" t="str">
        <f>_xlfn.XLOOKUP(C451,customers!$A$1:$A$1001,customers!$B$1:$B$1001,"",0)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6">
        <f>INDEX(products!$A$1:$G$49,MATCH(orders!$D451,products!$A$1:$A$49,0),MATCH(orders!K$1,products!$A$1:$G$1,0))</f>
        <v>0.2</v>
      </c>
      <c r="L451" s="4">
        <f>INDEX(products!$A$1:$G$49,MATCH(orders!$D451,products!$A$1:$A$49,0),MATCH(orders!L$1,products!$A$1:$G$1,0))</f>
        <v>2.6849999999999996</v>
      </c>
      <c r="M451" s="4">
        <f t="shared" ref="M451:M514" si="21">E451*L451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hidden="1" x14ac:dyDescent="0.3">
      <c r="A452" s="2" t="s">
        <v>3027</v>
      </c>
      <c r="B452" s="7">
        <v>44207</v>
      </c>
      <c r="C452" s="2" t="s">
        <v>3028</v>
      </c>
      <c r="D452" t="s">
        <v>6144</v>
      </c>
      <c r="E452" s="2">
        <v>5</v>
      </c>
      <c r="F452" s="2" t="str">
        <f>_xlfn.XLOOKUP(C452,customers!$A$1:$A$1001,customers!$B$1:$B$1001,"",0)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6">
        <f>INDEX(products!$A$1:$G$49,MATCH(orders!$D452,products!$A$1:$A$49,0),MATCH(orders!K$1,products!$A$1:$G$1,0))</f>
        <v>0.2</v>
      </c>
      <c r="L452" s="4">
        <f>INDEX(products!$A$1:$G$49,MATCH(orders!$D452,products!$A$1:$A$49,0),MATCH(orders!L$1,products!$A$1:$G$1,0))</f>
        <v>4.7549999999999999</v>
      </c>
      <c r="M452" s="4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hidden="1" x14ac:dyDescent="0.3">
      <c r="A453" s="2" t="s">
        <v>3035</v>
      </c>
      <c r="B453" s="7">
        <v>43518</v>
      </c>
      <c r="C453" s="2" t="s">
        <v>3036</v>
      </c>
      <c r="D453" t="s">
        <v>6148</v>
      </c>
      <c r="E453" s="2">
        <v>2</v>
      </c>
      <c r="F453" s="2" t="str">
        <f>_xlfn.XLOOKUP(C453,customers!$A$1:$A$1001,customers!$B$1:$B$1001,"",0)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6">
        <f>INDEX(products!$A$1:$G$49,MATCH(orders!$D453,products!$A$1:$A$49,0),MATCH(orders!K$1,products!$A$1:$G$1,0))</f>
        <v>2.5</v>
      </c>
      <c r="L453" s="4">
        <f>INDEX(products!$A$1:$G$49,MATCH(orders!$D453,products!$A$1:$A$49,0),MATCH(orders!L$1,products!$A$1:$G$1,0))</f>
        <v>20.584999999999997</v>
      </c>
      <c r="M453" s="4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hidden="1" x14ac:dyDescent="0.3">
      <c r="A454" s="2" t="s">
        <v>3041</v>
      </c>
      <c r="B454" s="7">
        <v>44524</v>
      </c>
      <c r="C454" s="2" t="s">
        <v>3042</v>
      </c>
      <c r="D454" t="s">
        <v>6166</v>
      </c>
      <c r="E454" s="2">
        <v>3</v>
      </c>
      <c r="F454" s="2" t="str">
        <f>_xlfn.XLOOKUP(C454,customers!$A$1:$A$1001,customers!$B$1:$B$1001,"",0)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6">
        <f>INDEX(products!$A$1:$G$49,MATCH(orders!$D454,products!$A$1:$A$49,0),MATCH(orders!K$1,products!$A$1:$G$1,0))</f>
        <v>0.2</v>
      </c>
      <c r="L454" s="4">
        <f>INDEX(products!$A$1:$G$49,MATCH(orders!$D454,products!$A$1:$A$49,0),MATCH(orders!L$1,products!$A$1:$G$1,0))</f>
        <v>3.8849999999999998</v>
      </c>
      <c r="M454" s="4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3">
      <c r="A455" s="2" t="s">
        <v>3047</v>
      </c>
      <c r="B455" s="7">
        <v>44579</v>
      </c>
      <c r="C455" s="2" t="s">
        <v>3048</v>
      </c>
      <c r="D455" t="s">
        <v>6160</v>
      </c>
      <c r="E455" s="2">
        <v>4</v>
      </c>
      <c r="F455" s="2" t="str">
        <f>_xlfn.XLOOKUP(C455,customers!$A$1:$A$1001,customers!$B$1:$B$1001,"",0)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6">
        <f>INDEX(products!$A$1:$G$49,MATCH(orders!$D455,products!$A$1:$A$49,0),MATCH(orders!K$1,products!$A$1:$G$1,0))</f>
        <v>0.5</v>
      </c>
      <c r="L455" s="4">
        <f>INDEX(products!$A$1:$G$49,MATCH(orders!$D455,products!$A$1:$A$49,0),MATCH(orders!L$1,products!$A$1:$G$1,0))</f>
        <v>9.51</v>
      </c>
      <c r="M455" s="4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hidden="1" x14ac:dyDescent="0.3">
      <c r="A456" s="2" t="s">
        <v>3053</v>
      </c>
      <c r="B456" s="7">
        <v>44421</v>
      </c>
      <c r="C456" s="2" t="s">
        <v>3054</v>
      </c>
      <c r="D456" t="s">
        <v>6148</v>
      </c>
      <c r="E456" s="2">
        <v>4</v>
      </c>
      <c r="F456" s="2" t="str">
        <f>_xlfn.XLOOKUP(C456,customers!$A$1:$A$1001,customers!$B$1:$B$1001,"",0)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6">
        <f>INDEX(products!$A$1:$G$49,MATCH(orders!$D456,products!$A$1:$A$49,0),MATCH(orders!K$1,products!$A$1:$G$1,0))</f>
        <v>2.5</v>
      </c>
      <c r="L456" s="4">
        <f>INDEX(products!$A$1:$G$49,MATCH(orders!$D456,products!$A$1:$A$49,0),MATCH(orders!L$1,products!$A$1:$G$1,0))</f>
        <v>20.584999999999997</v>
      </c>
      <c r="M456" s="4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hidden="1" x14ac:dyDescent="0.3">
      <c r="A457" s="2" t="s">
        <v>3058</v>
      </c>
      <c r="B457" s="7">
        <v>43841</v>
      </c>
      <c r="C457" s="2" t="s">
        <v>3059</v>
      </c>
      <c r="D457" t="s">
        <v>6144</v>
      </c>
      <c r="E457" s="2">
        <v>2</v>
      </c>
      <c r="F457" s="2" t="str">
        <f>_xlfn.XLOOKUP(C457,customers!$A$1:$A$1001,customers!$B$1:$B$1001,"",0)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6">
        <f>INDEX(products!$A$1:$G$49,MATCH(orders!$D457,products!$A$1:$A$49,0),MATCH(orders!K$1,products!$A$1:$G$1,0))</f>
        <v>0.2</v>
      </c>
      <c r="L457" s="4">
        <f>INDEX(products!$A$1:$G$49,MATCH(orders!$D457,products!$A$1:$A$49,0),MATCH(orders!L$1,products!$A$1:$G$1,0))</f>
        <v>4.7549999999999999</v>
      </c>
      <c r="M457" s="4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hidden="1" x14ac:dyDescent="0.3">
      <c r="A458" s="2" t="s">
        <v>3064</v>
      </c>
      <c r="B458" s="7">
        <v>44017</v>
      </c>
      <c r="C458" s="2" t="s">
        <v>3065</v>
      </c>
      <c r="D458" t="s">
        <v>6148</v>
      </c>
      <c r="E458" s="2">
        <v>2</v>
      </c>
      <c r="F458" s="2" t="str">
        <f>_xlfn.XLOOKUP(C458,customers!$A$1:$A$1001,customers!$B$1:$B$1001,"",0)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6">
        <f>INDEX(products!$A$1:$G$49,MATCH(orders!$D458,products!$A$1:$A$49,0),MATCH(orders!K$1,products!$A$1:$G$1,0))</f>
        <v>2.5</v>
      </c>
      <c r="L458" s="4">
        <f>INDEX(products!$A$1:$G$49,MATCH(orders!$D458,products!$A$1:$A$49,0),MATCH(orders!L$1,products!$A$1:$G$1,0))</f>
        <v>20.584999999999997</v>
      </c>
      <c r="M458" s="4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hidden="1" x14ac:dyDescent="0.3">
      <c r="A459" s="2" t="s">
        <v>3070</v>
      </c>
      <c r="B459" s="7">
        <v>43671</v>
      </c>
      <c r="C459" s="2" t="s">
        <v>3071</v>
      </c>
      <c r="D459" t="s">
        <v>6160</v>
      </c>
      <c r="E459" s="2">
        <v>5</v>
      </c>
      <c r="F459" s="2" t="str">
        <f>_xlfn.XLOOKUP(C459,customers!$A$1:$A$1001,customers!$B$1:$B$1001,"",0)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6">
        <f>INDEX(products!$A$1:$G$49,MATCH(orders!$D459,products!$A$1:$A$49,0),MATCH(orders!K$1,products!$A$1:$G$1,0))</f>
        <v>0.5</v>
      </c>
      <c r="L459" s="4">
        <f>INDEX(products!$A$1:$G$49,MATCH(orders!$D459,products!$A$1:$A$49,0),MATCH(orders!L$1,products!$A$1:$G$1,0))</f>
        <v>9.51</v>
      </c>
      <c r="M459" s="4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3">
      <c r="A460" s="2" t="s">
        <v>3076</v>
      </c>
      <c r="B460" s="7">
        <v>44707</v>
      </c>
      <c r="C460" s="2" t="s">
        <v>3077</v>
      </c>
      <c r="D460" t="s">
        <v>6154</v>
      </c>
      <c r="E460" s="2">
        <v>4</v>
      </c>
      <c r="F460" s="2" t="str">
        <f>_xlfn.XLOOKUP(C460,customers!$A$1:$A$1001,customers!$B$1:$B$1001,"",0)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6">
        <f>INDEX(products!$A$1:$G$49,MATCH(orders!$D460,products!$A$1:$A$49,0),MATCH(orders!K$1,products!$A$1:$G$1,0))</f>
        <v>1</v>
      </c>
      <c r="L460" s="4">
        <f>INDEX(products!$A$1:$G$49,MATCH(orders!$D460,products!$A$1:$A$49,0),MATCH(orders!L$1,products!$A$1:$G$1,0))</f>
        <v>11.25</v>
      </c>
      <c r="M460" s="4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hidden="1" x14ac:dyDescent="0.3">
      <c r="A461" s="2" t="s">
        <v>3082</v>
      </c>
      <c r="B461" s="7">
        <v>43840</v>
      </c>
      <c r="C461" s="2" t="s">
        <v>3083</v>
      </c>
      <c r="D461" t="s">
        <v>6144</v>
      </c>
      <c r="E461" s="2">
        <v>5</v>
      </c>
      <c r="F461" s="2" t="str">
        <f>_xlfn.XLOOKUP(C461,customers!$A$1:$A$1001,customers!$B$1:$B$1001,"",0)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6">
        <f>INDEX(products!$A$1:$G$49,MATCH(orders!$D461,products!$A$1:$A$49,0),MATCH(orders!K$1,products!$A$1:$G$1,0))</f>
        <v>0.2</v>
      </c>
      <c r="L461" s="4">
        <f>INDEX(products!$A$1:$G$49,MATCH(orders!$D461,products!$A$1:$A$49,0),MATCH(orders!L$1,products!$A$1:$G$1,0))</f>
        <v>4.7549999999999999</v>
      </c>
      <c r="M461" s="4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hidden="1" x14ac:dyDescent="0.3">
      <c r="A462" s="2" t="s">
        <v>3088</v>
      </c>
      <c r="B462" s="7">
        <v>43602</v>
      </c>
      <c r="C462" s="2" t="s">
        <v>3089</v>
      </c>
      <c r="D462" t="s">
        <v>6171</v>
      </c>
      <c r="E462" s="2">
        <v>3</v>
      </c>
      <c r="F462" s="2" t="str">
        <f>_xlfn.XLOOKUP(C462,customers!$A$1:$A$1001,customers!$B$1:$B$1001,"",0)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6">
        <f>INDEX(products!$A$1:$G$49,MATCH(orders!$D462,products!$A$1:$A$49,0),MATCH(orders!K$1,products!$A$1:$G$1,0))</f>
        <v>0.5</v>
      </c>
      <c r="L462" s="4">
        <f>INDEX(products!$A$1:$G$49,MATCH(orders!$D462,products!$A$1:$A$49,0),MATCH(orders!L$1,products!$A$1:$G$1,0))</f>
        <v>5.3699999999999992</v>
      </c>
      <c r="M462" s="4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hidden="1" x14ac:dyDescent="0.3">
      <c r="A463" s="2" t="s">
        <v>3094</v>
      </c>
      <c r="B463" s="7">
        <v>44036</v>
      </c>
      <c r="C463" s="2" t="s">
        <v>3095</v>
      </c>
      <c r="D463" t="s">
        <v>6162</v>
      </c>
      <c r="E463" s="2">
        <v>4</v>
      </c>
      <c r="F463" s="2" t="str">
        <f>_xlfn.XLOOKUP(C463,customers!$A$1:$A$1001,customers!$B$1:$B$1001,"",0)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6">
        <f>INDEX(products!$A$1:$G$49,MATCH(orders!$D463,products!$A$1:$A$49,0),MATCH(orders!K$1,products!$A$1:$G$1,0))</f>
        <v>0.2</v>
      </c>
      <c r="L463" s="4">
        <f>INDEX(products!$A$1:$G$49,MATCH(orders!$D463,products!$A$1:$A$49,0),MATCH(orders!L$1,products!$A$1:$G$1,0))</f>
        <v>2.6849999999999996</v>
      </c>
      <c r="M463" s="4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hidden="1" x14ac:dyDescent="0.3">
      <c r="A464" s="2" t="s">
        <v>3100</v>
      </c>
      <c r="B464" s="7">
        <v>44124</v>
      </c>
      <c r="C464" s="2" t="s">
        <v>3101</v>
      </c>
      <c r="D464" t="s">
        <v>6146</v>
      </c>
      <c r="E464" s="2">
        <v>5</v>
      </c>
      <c r="F464" s="2" t="str">
        <f>_xlfn.XLOOKUP(C464,customers!$A$1:$A$1001,customers!$B$1:$B$1001,"",0)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6">
        <f>INDEX(products!$A$1:$G$49,MATCH(orders!$D464,products!$A$1:$A$49,0),MATCH(orders!K$1,products!$A$1:$G$1,0))</f>
        <v>1</v>
      </c>
      <c r="L464" s="4">
        <f>INDEX(products!$A$1:$G$49,MATCH(orders!$D464,products!$A$1:$A$49,0),MATCH(orders!L$1,products!$A$1:$G$1,0))</f>
        <v>9.9499999999999993</v>
      </c>
      <c r="M464" s="4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hidden="1" x14ac:dyDescent="0.3">
      <c r="A465" s="2" t="s">
        <v>3106</v>
      </c>
      <c r="B465" s="7">
        <v>43730</v>
      </c>
      <c r="C465" s="2" t="s">
        <v>3107</v>
      </c>
      <c r="D465" t="s">
        <v>6140</v>
      </c>
      <c r="E465" s="2">
        <v>2</v>
      </c>
      <c r="F465" s="2" t="str">
        <f>_xlfn.XLOOKUP(C465,customers!$A$1:$A$1001,customers!$B$1:$B$1001,"",0)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6">
        <f>INDEX(products!$A$1:$G$49,MATCH(orders!$D465,products!$A$1:$A$49,0),MATCH(orders!K$1,products!$A$1:$G$1,0))</f>
        <v>1</v>
      </c>
      <c r="L465" s="4">
        <f>INDEX(products!$A$1:$G$49,MATCH(orders!$D465,products!$A$1:$A$49,0),MATCH(orders!L$1,products!$A$1:$G$1,0))</f>
        <v>13.75</v>
      </c>
      <c r="M465" s="4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hidden="1" x14ac:dyDescent="0.3">
      <c r="A466" s="2" t="s">
        <v>3112</v>
      </c>
      <c r="B466" s="7">
        <v>43989</v>
      </c>
      <c r="C466" s="2" t="s">
        <v>3113</v>
      </c>
      <c r="D466" t="s">
        <v>6164</v>
      </c>
      <c r="E466" s="2">
        <v>4</v>
      </c>
      <c r="F466" s="2" t="str">
        <f>_xlfn.XLOOKUP(C466,customers!$A$1:$A$1001,customers!$B$1:$B$1001,"",0)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6">
        <f>INDEX(products!$A$1:$G$49,MATCH(orders!$D466,products!$A$1:$A$49,0),MATCH(orders!K$1,products!$A$1:$G$1,0))</f>
        <v>2.5</v>
      </c>
      <c r="L466" s="4">
        <f>INDEX(products!$A$1:$G$49,MATCH(orders!$D466,products!$A$1:$A$49,0),MATCH(orders!L$1,products!$A$1:$G$1,0))</f>
        <v>29.784999999999997</v>
      </c>
      <c r="M466" s="4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hidden="1" x14ac:dyDescent="0.3">
      <c r="A467" s="2" t="s">
        <v>3118</v>
      </c>
      <c r="B467" s="7">
        <v>43814</v>
      </c>
      <c r="C467" s="2" t="s">
        <v>3119</v>
      </c>
      <c r="D467" t="s">
        <v>6148</v>
      </c>
      <c r="E467" s="2">
        <v>1</v>
      </c>
      <c r="F467" s="2" t="str">
        <f>_xlfn.XLOOKUP(C467,customers!$A$1:$A$1001,customers!$B$1:$B$1001,"",0)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6">
        <f>INDEX(products!$A$1:$G$49,MATCH(orders!$D467,products!$A$1:$A$49,0),MATCH(orders!K$1,products!$A$1:$G$1,0))</f>
        <v>2.5</v>
      </c>
      <c r="L467" s="4">
        <f>INDEX(products!$A$1:$G$49,MATCH(orders!$D467,products!$A$1:$A$49,0),MATCH(orders!L$1,products!$A$1:$G$1,0))</f>
        <v>20.584999999999997</v>
      </c>
      <c r="M467" s="4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hidden="1" x14ac:dyDescent="0.3">
      <c r="A468" s="2" t="s">
        <v>3124</v>
      </c>
      <c r="B468" s="7">
        <v>44171</v>
      </c>
      <c r="C468" s="2" t="s">
        <v>3125</v>
      </c>
      <c r="D468" t="s">
        <v>6153</v>
      </c>
      <c r="E468" s="2">
        <v>3</v>
      </c>
      <c r="F468" s="2" t="str">
        <f>_xlfn.XLOOKUP(C468,customers!$A$1:$A$1001,customers!$B$1:$B$1001,"",0)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6">
        <f>INDEX(products!$A$1:$G$49,MATCH(orders!$D468,products!$A$1:$A$49,0),MATCH(orders!K$1,products!$A$1:$G$1,0))</f>
        <v>0.2</v>
      </c>
      <c r="L468" s="4">
        <f>INDEX(products!$A$1:$G$49,MATCH(orders!$D468,products!$A$1:$A$49,0),MATCH(orders!L$1,products!$A$1:$G$1,0))</f>
        <v>2.9849999999999999</v>
      </c>
      <c r="M468" s="4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hidden="1" x14ac:dyDescent="0.3">
      <c r="A469" s="2" t="s">
        <v>3130</v>
      </c>
      <c r="B469" s="7">
        <v>44536</v>
      </c>
      <c r="C469" s="2" t="s">
        <v>3131</v>
      </c>
      <c r="D469" t="s">
        <v>6157</v>
      </c>
      <c r="E469" s="2">
        <v>1</v>
      </c>
      <c r="F469" s="2" t="str">
        <f>_xlfn.XLOOKUP(C469,customers!$A$1:$A$1001,customers!$B$1:$B$1001,"",0)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6">
        <f>INDEX(products!$A$1:$G$49,MATCH(orders!$D469,products!$A$1:$A$49,0),MATCH(orders!K$1,products!$A$1:$G$1,0))</f>
        <v>0.5</v>
      </c>
      <c r="L469" s="4">
        <f>INDEX(products!$A$1:$G$49,MATCH(orders!$D469,products!$A$1:$A$49,0),MATCH(orders!L$1,products!$A$1:$G$1,0))</f>
        <v>5.97</v>
      </c>
      <c r="M469" s="4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hidden="1" x14ac:dyDescent="0.3">
      <c r="A470" s="2" t="s">
        <v>3136</v>
      </c>
      <c r="B470" s="7">
        <v>44023</v>
      </c>
      <c r="C470" s="2" t="s">
        <v>3137</v>
      </c>
      <c r="D470" t="s">
        <v>6140</v>
      </c>
      <c r="E470" s="2">
        <v>3</v>
      </c>
      <c r="F470" s="2" t="str">
        <f>_xlfn.XLOOKUP(C470,customers!$A$1:$A$1001,customers!$B$1:$B$1001,"",0)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6">
        <f>INDEX(products!$A$1:$G$49,MATCH(orders!$D470,products!$A$1:$A$49,0),MATCH(orders!K$1,products!$A$1:$G$1,0))</f>
        <v>1</v>
      </c>
      <c r="L470" s="4">
        <f>INDEX(products!$A$1:$G$49,MATCH(orders!$D470,products!$A$1:$A$49,0),MATCH(orders!L$1,products!$A$1:$G$1,0))</f>
        <v>13.75</v>
      </c>
      <c r="M470" s="4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hidden="1" x14ac:dyDescent="0.3">
      <c r="A471" s="2" t="s">
        <v>3141</v>
      </c>
      <c r="B471" s="7">
        <v>44375</v>
      </c>
      <c r="C471" s="2" t="s">
        <v>3194</v>
      </c>
      <c r="D471" t="s">
        <v>6183</v>
      </c>
      <c r="E471" s="2">
        <v>5</v>
      </c>
      <c r="F471" s="2" t="str">
        <f>_xlfn.XLOOKUP(C471,customers!$A$1:$A$1001,customers!$B$1:$B$1001,"",0)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6">
        <f>INDEX(products!$A$1:$G$49,MATCH(orders!$D471,products!$A$1:$A$49,0),MATCH(orders!K$1,products!$A$1:$G$1,0))</f>
        <v>0.2</v>
      </c>
      <c r="L471" s="4">
        <f>INDEX(products!$A$1:$G$49,MATCH(orders!$D471,products!$A$1:$A$49,0),MATCH(orders!L$1,products!$A$1:$G$1,0))</f>
        <v>4.4550000000000001</v>
      </c>
      <c r="M471" s="4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3">
      <c r="A472" s="2" t="s">
        <v>3147</v>
      </c>
      <c r="B472" s="7">
        <v>44656</v>
      </c>
      <c r="C472" s="2" t="s">
        <v>3148</v>
      </c>
      <c r="D472" t="s">
        <v>6156</v>
      </c>
      <c r="E472" s="2">
        <v>1</v>
      </c>
      <c r="F472" s="2" t="str">
        <f>_xlfn.XLOOKUP(C472,customers!$A$1:$A$1001,customers!$B$1:$B$1001,"",0)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6">
        <f>INDEX(products!$A$1:$G$49,MATCH(orders!$D472,products!$A$1:$A$49,0),MATCH(orders!K$1,products!$A$1:$G$1,0))</f>
        <v>0.5</v>
      </c>
      <c r="L472" s="4">
        <f>INDEX(products!$A$1:$G$49,MATCH(orders!$D472,products!$A$1:$A$49,0),MATCH(orders!L$1,products!$A$1:$G$1,0))</f>
        <v>6.75</v>
      </c>
      <c r="M472" s="4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3">
      <c r="A473" s="2" t="s">
        <v>3153</v>
      </c>
      <c r="B473" s="7">
        <v>44644</v>
      </c>
      <c r="C473" s="2" t="s">
        <v>3154</v>
      </c>
      <c r="D473" t="s">
        <v>6180</v>
      </c>
      <c r="E473" s="2">
        <v>4</v>
      </c>
      <c r="F473" s="2" t="str">
        <f>_xlfn.XLOOKUP(C473,customers!$A$1:$A$1001,customers!$B$1:$B$1001,"",0)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6">
        <f>INDEX(products!$A$1:$G$49,MATCH(orders!$D473,products!$A$1:$A$49,0),MATCH(orders!K$1,products!$A$1:$G$1,0))</f>
        <v>2.5</v>
      </c>
      <c r="L473" s="4">
        <f>INDEX(products!$A$1:$G$49,MATCH(orders!$D473,products!$A$1:$A$49,0),MATCH(orders!L$1,products!$A$1:$G$1,0))</f>
        <v>33.464999999999996</v>
      </c>
      <c r="M473" s="4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hidden="1" x14ac:dyDescent="0.3">
      <c r="A474" s="2" t="s">
        <v>3158</v>
      </c>
      <c r="B474" s="7">
        <v>43869</v>
      </c>
      <c r="C474" s="2" t="s">
        <v>3159</v>
      </c>
      <c r="D474" t="s">
        <v>6153</v>
      </c>
      <c r="E474" s="2">
        <v>2</v>
      </c>
      <c r="F474" s="2" t="str">
        <f>_xlfn.XLOOKUP(C474,customers!$A$1:$A$1001,customers!$B$1:$B$1001,"",0)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6">
        <f>INDEX(products!$A$1:$G$49,MATCH(orders!$D474,products!$A$1:$A$49,0),MATCH(orders!K$1,products!$A$1:$G$1,0))</f>
        <v>0.2</v>
      </c>
      <c r="L474" s="4">
        <f>INDEX(products!$A$1:$G$49,MATCH(orders!$D474,products!$A$1:$A$49,0),MATCH(orders!L$1,products!$A$1:$G$1,0))</f>
        <v>2.9849999999999999</v>
      </c>
      <c r="M474" s="4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3">
      <c r="A475" s="2" t="s">
        <v>3164</v>
      </c>
      <c r="B475" s="7">
        <v>44603</v>
      </c>
      <c r="C475" s="2" t="s">
        <v>3165</v>
      </c>
      <c r="D475" t="s">
        <v>6139</v>
      </c>
      <c r="E475" s="2">
        <v>2</v>
      </c>
      <c r="F475" s="2" t="str">
        <f>_xlfn.XLOOKUP(C475,customers!$A$1:$A$1001,customers!$B$1:$B$1001,"",0)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6">
        <f>INDEX(products!$A$1:$G$49,MATCH(orders!$D475,products!$A$1:$A$49,0),MATCH(orders!K$1,products!$A$1:$G$1,0))</f>
        <v>1</v>
      </c>
      <c r="L475" s="4">
        <f>INDEX(products!$A$1:$G$49,MATCH(orders!$D475,products!$A$1:$A$49,0),MATCH(orders!L$1,products!$A$1:$G$1,0))</f>
        <v>12.95</v>
      </c>
      <c r="M475" s="4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hidden="1" x14ac:dyDescent="0.3">
      <c r="A476" s="2" t="s">
        <v>3170</v>
      </c>
      <c r="B476" s="7">
        <v>44014</v>
      </c>
      <c r="C476" s="2" t="s">
        <v>3171</v>
      </c>
      <c r="D476" t="s">
        <v>6165</v>
      </c>
      <c r="E476" s="2">
        <v>1</v>
      </c>
      <c r="F476" s="2" t="str">
        <f>_xlfn.XLOOKUP(C476,customers!$A$1:$A$1001,customers!$B$1:$B$1001,"",0)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6">
        <f>INDEX(products!$A$1:$G$49,MATCH(orders!$D476,products!$A$1:$A$49,0),MATCH(orders!K$1,products!$A$1:$G$1,0))</f>
        <v>2.5</v>
      </c>
      <c r="L476" s="4">
        <f>INDEX(products!$A$1:$G$49,MATCH(orders!$D476,products!$A$1:$A$49,0),MATCH(orders!L$1,products!$A$1:$G$1,0))</f>
        <v>31.624999999999996</v>
      </c>
      <c r="M476" s="4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3">
      <c r="A477" s="2" t="s">
        <v>3176</v>
      </c>
      <c r="B477" s="7">
        <v>44767</v>
      </c>
      <c r="C477" s="2" t="s">
        <v>3177</v>
      </c>
      <c r="D477" t="s">
        <v>6158</v>
      </c>
      <c r="E477" s="2">
        <v>2</v>
      </c>
      <c r="F477" s="2" t="str">
        <f>_xlfn.XLOOKUP(C477,customers!$A$1:$A$1001,customers!$B$1:$B$1001,"",0)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6">
        <f>INDEX(products!$A$1:$G$49,MATCH(orders!$D477,products!$A$1:$A$49,0),MATCH(orders!K$1,products!$A$1:$G$1,0))</f>
        <v>0.2</v>
      </c>
      <c r="L477" s="4">
        <f>INDEX(products!$A$1:$G$49,MATCH(orders!$D477,products!$A$1:$A$49,0),MATCH(orders!L$1,products!$A$1:$G$1,0))</f>
        <v>4.3650000000000002</v>
      </c>
      <c r="M477" s="4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hidden="1" x14ac:dyDescent="0.3">
      <c r="A478" s="2" t="s">
        <v>3181</v>
      </c>
      <c r="B478" s="7">
        <v>44274</v>
      </c>
      <c r="C478" s="2" t="s">
        <v>3182</v>
      </c>
      <c r="D478" t="s">
        <v>6183</v>
      </c>
      <c r="E478" s="2">
        <v>6</v>
      </c>
      <c r="F478" s="2" t="str">
        <f>_xlfn.XLOOKUP(C478,customers!$A$1:$A$1001,customers!$B$1:$B$1001,"",0)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6">
        <f>INDEX(products!$A$1:$G$49,MATCH(orders!$D478,products!$A$1:$A$49,0),MATCH(orders!K$1,products!$A$1:$G$1,0))</f>
        <v>0.2</v>
      </c>
      <c r="L478" s="4">
        <f>INDEX(products!$A$1:$G$49,MATCH(orders!$D478,products!$A$1:$A$49,0),MATCH(orders!L$1,products!$A$1:$G$1,0))</f>
        <v>4.4550000000000001</v>
      </c>
      <c r="M478" s="4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hidden="1" x14ac:dyDescent="0.3">
      <c r="A479" s="2" t="s">
        <v>3187</v>
      </c>
      <c r="B479" s="7">
        <v>43962</v>
      </c>
      <c r="C479" s="2" t="s">
        <v>3188</v>
      </c>
      <c r="D479" t="s">
        <v>6158</v>
      </c>
      <c r="E479" s="2">
        <v>6</v>
      </c>
      <c r="F479" s="2" t="str">
        <f>_xlfn.XLOOKUP(C479,customers!$A$1:$A$1001,customers!$B$1:$B$1001,"",0)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6">
        <f>INDEX(products!$A$1:$G$49,MATCH(orders!$D479,products!$A$1:$A$49,0),MATCH(orders!K$1,products!$A$1:$G$1,0))</f>
        <v>0.2</v>
      </c>
      <c r="L479" s="4">
        <f>INDEX(products!$A$1:$G$49,MATCH(orders!$D479,products!$A$1:$A$49,0),MATCH(orders!L$1,products!$A$1:$G$1,0))</f>
        <v>4.3650000000000002</v>
      </c>
      <c r="M479" s="4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hidden="1" x14ac:dyDescent="0.3">
      <c r="A480" s="2" t="s">
        <v>3193</v>
      </c>
      <c r="B480" s="7">
        <v>43624</v>
      </c>
      <c r="C480" s="2" t="s">
        <v>3194</v>
      </c>
      <c r="D480" t="s">
        <v>6176</v>
      </c>
      <c r="E480" s="2">
        <v>6</v>
      </c>
      <c r="F480" s="2" t="str">
        <f>_xlfn.XLOOKUP(C480,customers!$A$1:$A$1001,customers!$B$1:$B$1001,"",0)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6">
        <f>INDEX(products!$A$1:$G$49,MATCH(orders!$D480,products!$A$1:$A$49,0),MATCH(orders!K$1,products!$A$1:$G$1,0))</f>
        <v>1</v>
      </c>
      <c r="L480" s="4">
        <f>INDEX(products!$A$1:$G$49,MATCH(orders!$D480,products!$A$1:$A$49,0),MATCH(orders!L$1,products!$A$1:$G$1,0))</f>
        <v>8.9499999999999993</v>
      </c>
      <c r="M480" s="4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hidden="1" x14ac:dyDescent="0.3">
      <c r="A481" s="2" t="s">
        <v>3193</v>
      </c>
      <c r="B481" s="7">
        <v>43624</v>
      </c>
      <c r="C481" s="2" t="s">
        <v>3194</v>
      </c>
      <c r="D481" t="s">
        <v>6165</v>
      </c>
      <c r="E481" s="2">
        <v>4</v>
      </c>
      <c r="F481" s="2" t="str">
        <f>_xlfn.XLOOKUP(C481,customers!$A$1:$A$1001,customers!$B$1:$B$1001,"",0)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6">
        <f>INDEX(products!$A$1:$G$49,MATCH(orders!$D481,products!$A$1:$A$49,0),MATCH(orders!K$1,products!$A$1:$G$1,0))</f>
        <v>2.5</v>
      </c>
      <c r="L481" s="4">
        <f>INDEX(products!$A$1:$G$49,MATCH(orders!$D481,products!$A$1:$A$49,0),MATCH(orders!L$1,products!$A$1:$G$1,0))</f>
        <v>31.624999999999996</v>
      </c>
      <c r="M481" s="4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hidden="1" x14ac:dyDescent="0.3">
      <c r="A482" s="2" t="s">
        <v>3193</v>
      </c>
      <c r="B482" s="7">
        <v>43624</v>
      </c>
      <c r="C482" s="2" t="s">
        <v>3194</v>
      </c>
      <c r="D482" t="s">
        <v>6155</v>
      </c>
      <c r="E482" s="2">
        <v>1</v>
      </c>
      <c r="F482" s="2" t="str">
        <f>_xlfn.XLOOKUP(C482,customers!$A$1:$A$1001,customers!$B$1:$B$1001,"",0)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6">
        <f>INDEX(products!$A$1:$G$49,MATCH(orders!$D482,products!$A$1:$A$49,0),MATCH(orders!K$1,products!$A$1:$G$1,0))</f>
        <v>0.2</v>
      </c>
      <c r="L482" s="4">
        <f>INDEX(products!$A$1:$G$49,MATCH(orders!$D482,products!$A$1:$A$49,0),MATCH(orders!L$1,products!$A$1:$G$1,0))</f>
        <v>4.125</v>
      </c>
      <c r="M482" s="4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hidden="1" x14ac:dyDescent="0.3">
      <c r="A483" s="2" t="s">
        <v>3208</v>
      </c>
      <c r="B483" s="7">
        <v>43747</v>
      </c>
      <c r="C483" s="2" t="s">
        <v>3209</v>
      </c>
      <c r="D483" t="s">
        <v>6178</v>
      </c>
      <c r="E483" s="2">
        <v>2</v>
      </c>
      <c r="F483" s="2" t="str">
        <f>_xlfn.XLOOKUP(C483,customers!$A$1:$A$1001,customers!$B$1:$B$1001,"",0)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6">
        <f>INDEX(products!$A$1:$G$49,MATCH(orders!$D483,products!$A$1:$A$49,0),MATCH(orders!K$1,products!$A$1:$G$1,0))</f>
        <v>1</v>
      </c>
      <c r="L483" s="4">
        <f>INDEX(products!$A$1:$G$49,MATCH(orders!$D483,products!$A$1:$A$49,0),MATCH(orders!L$1,products!$A$1:$G$1,0))</f>
        <v>11.95</v>
      </c>
      <c r="M483" s="4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hidden="1" x14ac:dyDescent="0.3">
      <c r="A484" s="2" t="s">
        <v>3214</v>
      </c>
      <c r="B484" s="7">
        <v>44247</v>
      </c>
      <c r="C484" s="2" t="s">
        <v>3215</v>
      </c>
      <c r="D484" t="s">
        <v>6184</v>
      </c>
      <c r="E484" s="2">
        <v>5</v>
      </c>
      <c r="F484" s="2" t="str">
        <f>_xlfn.XLOOKUP(C484,customers!$A$1:$A$1001,customers!$B$1:$B$1001,"",0)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6">
        <f>INDEX(products!$A$1:$G$49,MATCH(orders!$D484,products!$A$1:$A$49,0),MATCH(orders!K$1,products!$A$1:$G$1,0))</f>
        <v>2.5</v>
      </c>
      <c r="L484" s="4">
        <f>INDEX(products!$A$1:$G$49,MATCH(orders!$D484,products!$A$1:$A$49,0),MATCH(orders!L$1,products!$A$1:$G$1,0))</f>
        <v>27.945</v>
      </c>
      <c r="M484" s="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hidden="1" x14ac:dyDescent="0.3">
      <c r="A485" s="2" t="s">
        <v>3220</v>
      </c>
      <c r="B485" s="7">
        <v>43790</v>
      </c>
      <c r="C485" s="2" t="s">
        <v>3221</v>
      </c>
      <c r="D485" t="s">
        <v>6164</v>
      </c>
      <c r="E485" s="2">
        <v>2</v>
      </c>
      <c r="F485" s="2" t="str">
        <f>_xlfn.XLOOKUP(C485,customers!$A$1:$A$1001,customers!$B$1:$B$1001,"",0)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6">
        <f>INDEX(products!$A$1:$G$49,MATCH(orders!$D485,products!$A$1:$A$49,0),MATCH(orders!K$1,products!$A$1:$G$1,0))</f>
        <v>2.5</v>
      </c>
      <c r="L485" s="4">
        <f>INDEX(products!$A$1:$G$49,MATCH(orders!$D485,products!$A$1:$A$49,0),MATCH(orders!L$1,products!$A$1:$G$1,0))</f>
        <v>29.784999999999997</v>
      </c>
      <c r="M485" s="4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hidden="1" x14ac:dyDescent="0.3">
      <c r="A486" s="2" t="s">
        <v>3225</v>
      </c>
      <c r="B486" s="7">
        <v>44479</v>
      </c>
      <c r="C486" s="2" t="s">
        <v>3226</v>
      </c>
      <c r="D486" t="s">
        <v>6160</v>
      </c>
      <c r="E486" s="2">
        <v>6</v>
      </c>
      <c r="F486" s="2" t="str">
        <f>_xlfn.XLOOKUP(C486,customers!$A$1:$A$1001,customers!$B$1:$B$1001,"",0)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6">
        <f>INDEX(products!$A$1:$G$49,MATCH(orders!$D486,products!$A$1:$A$49,0),MATCH(orders!K$1,products!$A$1:$G$1,0))</f>
        <v>0.5</v>
      </c>
      <c r="L486" s="4">
        <f>INDEX(products!$A$1:$G$49,MATCH(orders!$D486,products!$A$1:$A$49,0),MATCH(orders!L$1,products!$A$1:$G$1,0))</f>
        <v>9.51</v>
      </c>
      <c r="M486" s="4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hidden="1" x14ac:dyDescent="0.3">
      <c r="A487" s="2" t="s">
        <v>3230</v>
      </c>
      <c r="B487" s="7">
        <v>44413</v>
      </c>
      <c r="C487" s="2" t="s">
        <v>3231</v>
      </c>
      <c r="D487" t="s">
        <v>6177</v>
      </c>
      <c r="E487" s="2">
        <v>6</v>
      </c>
      <c r="F487" s="2" t="str">
        <f>_xlfn.XLOOKUP(C487,customers!$A$1:$A$1001,customers!$B$1:$B$1001,"",0)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6">
        <f>INDEX(products!$A$1:$G$49,MATCH(orders!$D487,products!$A$1:$A$49,0),MATCH(orders!K$1,products!$A$1:$G$1,0))</f>
        <v>0.2</v>
      </c>
      <c r="L487" s="4">
        <f>INDEX(products!$A$1:$G$49,MATCH(orders!$D487,products!$A$1:$A$49,0),MATCH(orders!L$1,products!$A$1:$G$1,0))</f>
        <v>3.5849999999999995</v>
      </c>
      <c r="M487" s="4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hidden="1" x14ac:dyDescent="0.3">
      <c r="A488" s="2" t="s">
        <v>3236</v>
      </c>
      <c r="B488" s="7">
        <v>44043</v>
      </c>
      <c r="C488" s="2" t="s">
        <v>3237</v>
      </c>
      <c r="D488" t="s">
        <v>6159</v>
      </c>
      <c r="E488" s="2">
        <v>6</v>
      </c>
      <c r="F488" s="2" t="str">
        <f>_xlfn.XLOOKUP(C488,customers!$A$1:$A$1001,customers!$B$1:$B$1001,"",0)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6">
        <f>INDEX(products!$A$1:$G$49,MATCH(orders!$D488,products!$A$1:$A$49,0),MATCH(orders!K$1,products!$A$1:$G$1,0))</f>
        <v>0.5</v>
      </c>
      <c r="L488" s="4">
        <f>INDEX(products!$A$1:$G$49,MATCH(orders!$D488,products!$A$1:$A$49,0),MATCH(orders!L$1,products!$A$1:$G$1,0))</f>
        <v>8.73</v>
      </c>
      <c r="M488" s="4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hidden="1" x14ac:dyDescent="0.3">
      <c r="A489" s="2" t="s">
        <v>3242</v>
      </c>
      <c r="B489" s="7">
        <v>44093</v>
      </c>
      <c r="C489" s="2" t="s">
        <v>3243</v>
      </c>
      <c r="D489" t="s">
        <v>6182</v>
      </c>
      <c r="E489" s="2">
        <v>6</v>
      </c>
      <c r="F489" s="2" t="str">
        <f>_xlfn.XLOOKUP(C489,customers!$A$1:$A$1001,customers!$B$1:$B$1001,"",0)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6">
        <f>INDEX(products!$A$1:$G$49,MATCH(orders!$D489,products!$A$1:$A$49,0),MATCH(orders!K$1,products!$A$1:$G$1,0))</f>
        <v>1</v>
      </c>
      <c r="L489" s="4">
        <f>INDEX(products!$A$1:$G$49,MATCH(orders!$D489,products!$A$1:$A$49,0),MATCH(orders!L$1,products!$A$1:$G$1,0))</f>
        <v>12.15</v>
      </c>
      <c r="M489" s="4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hidden="1" x14ac:dyDescent="0.3">
      <c r="A490" s="2" t="s">
        <v>3248</v>
      </c>
      <c r="B490" s="7">
        <v>43954</v>
      </c>
      <c r="C490" s="2" t="s">
        <v>3249</v>
      </c>
      <c r="D490" t="s">
        <v>6173</v>
      </c>
      <c r="E490" s="2">
        <v>5</v>
      </c>
      <c r="F490" s="2" t="str">
        <f>_xlfn.XLOOKUP(C490,customers!$A$1:$A$1001,customers!$B$1:$B$1001,"",0)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6">
        <f>INDEX(products!$A$1:$G$49,MATCH(orders!$D490,products!$A$1:$A$49,0),MATCH(orders!K$1,products!$A$1:$G$1,0))</f>
        <v>0.2</v>
      </c>
      <c r="L490" s="4">
        <f>INDEX(products!$A$1:$G$49,MATCH(orders!$D490,products!$A$1:$A$49,0),MATCH(orders!L$1,products!$A$1:$G$1,0))</f>
        <v>2.9849999999999999</v>
      </c>
      <c r="M490" s="4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hidden="1" x14ac:dyDescent="0.3">
      <c r="A491" s="2" t="s">
        <v>3254</v>
      </c>
      <c r="B491" s="7">
        <v>43654</v>
      </c>
      <c r="C491" s="2" t="s">
        <v>3255</v>
      </c>
      <c r="D491" t="s">
        <v>6169</v>
      </c>
      <c r="E491" s="2">
        <v>6</v>
      </c>
      <c r="F491" s="2" t="str">
        <f>_xlfn.XLOOKUP(C491,customers!$A$1:$A$1001,customers!$B$1:$B$1001,"",0)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6">
        <f>INDEX(products!$A$1:$G$49,MATCH(orders!$D491,products!$A$1:$A$49,0),MATCH(orders!K$1,products!$A$1:$G$1,0))</f>
        <v>1</v>
      </c>
      <c r="L491" s="4">
        <f>INDEX(products!$A$1:$G$49,MATCH(orders!$D491,products!$A$1:$A$49,0),MATCH(orders!L$1,products!$A$1:$G$1,0))</f>
        <v>15.85</v>
      </c>
      <c r="M491" s="4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hidden="1" x14ac:dyDescent="0.3">
      <c r="A492" s="2" t="s">
        <v>3260</v>
      </c>
      <c r="B492" s="7">
        <v>43764</v>
      </c>
      <c r="C492" s="2" t="s">
        <v>3261</v>
      </c>
      <c r="D492" t="s">
        <v>6168</v>
      </c>
      <c r="E492" s="2">
        <v>2</v>
      </c>
      <c r="F492" s="2" t="str">
        <f>_xlfn.XLOOKUP(C492,customers!$A$1:$A$1001,customers!$B$1:$B$1001,"",0)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6">
        <f>INDEX(products!$A$1:$G$49,MATCH(orders!$D492,products!$A$1:$A$49,0),MATCH(orders!K$1,products!$A$1:$G$1,0))</f>
        <v>0.5</v>
      </c>
      <c r="L492" s="4">
        <f>INDEX(products!$A$1:$G$49,MATCH(orders!$D492,products!$A$1:$A$49,0),MATCH(orders!L$1,products!$A$1:$G$1,0))</f>
        <v>7.77</v>
      </c>
      <c r="M492" s="4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hidden="1" x14ac:dyDescent="0.3">
      <c r="A493" s="2" t="s">
        <v>3266</v>
      </c>
      <c r="B493" s="7">
        <v>44101</v>
      </c>
      <c r="C493" s="2" t="s">
        <v>3267</v>
      </c>
      <c r="D493" t="s">
        <v>6149</v>
      </c>
      <c r="E493" s="2">
        <v>6</v>
      </c>
      <c r="F493" s="2" t="str">
        <f>_xlfn.XLOOKUP(C493,customers!$A$1:$A$1001,customers!$B$1:$B$1001,"",0)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6">
        <f>INDEX(products!$A$1:$G$49,MATCH(orders!$D493,products!$A$1:$A$49,0),MATCH(orders!K$1,products!$A$1:$G$1,0))</f>
        <v>0.2</v>
      </c>
      <c r="L493" s="4">
        <f>INDEX(products!$A$1:$G$49,MATCH(orders!$D493,products!$A$1:$A$49,0),MATCH(orders!L$1,products!$A$1:$G$1,0))</f>
        <v>3.8849999999999998</v>
      </c>
      <c r="M493" s="4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3">
      <c r="A494" s="2" t="s">
        <v>3271</v>
      </c>
      <c r="B494" s="7">
        <v>44620</v>
      </c>
      <c r="C494" s="2" t="s">
        <v>3272</v>
      </c>
      <c r="D494" t="s">
        <v>6155</v>
      </c>
      <c r="E494" s="2">
        <v>1</v>
      </c>
      <c r="F494" s="2" t="str">
        <f>_xlfn.XLOOKUP(C494,customers!$A$1:$A$1001,customers!$B$1:$B$1001,"",0)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6">
        <f>INDEX(products!$A$1:$G$49,MATCH(orders!$D494,products!$A$1:$A$49,0),MATCH(orders!K$1,products!$A$1:$G$1,0))</f>
        <v>0.2</v>
      </c>
      <c r="L494" s="4">
        <f>INDEX(products!$A$1:$G$49,MATCH(orders!$D494,products!$A$1:$A$49,0),MATCH(orders!L$1,products!$A$1:$G$1,0))</f>
        <v>4.125</v>
      </c>
      <c r="M494" s="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hidden="1" x14ac:dyDescent="0.3">
      <c r="A495" s="2" t="s">
        <v>3277</v>
      </c>
      <c r="B495" s="7">
        <v>44090</v>
      </c>
      <c r="C495" s="2" t="s">
        <v>3278</v>
      </c>
      <c r="D495" t="s">
        <v>6145</v>
      </c>
      <c r="E495" s="2">
        <v>6</v>
      </c>
      <c r="F495" s="2" t="str">
        <f>_xlfn.XLOOKUP(C495,customers!$A$1:$A$1001,customers!$B$1:$B$1001,"",0)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6">
        <f>INDEX(products!$A$1:$G$49,MATCH(orders!$D495,products!$A$1:$A$49,0),MATCH(orders!K$1,products!$A$1:$G$1,0))</f>
        <v>0.5</v>
      </c>
      <c r="L495" s="4">
        <f>INDEX(products!$A$1:$G$49,MATCH(orders!$D495,products!$A$1:$A$49,0),MATCH(orders!L$1,products!$A$1:$G$1,0))</f>
        <v>5.97</v>
      </c>
      <c r="M495" s="4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hidden="1" x14ac:dyDescent="0.3">
      <c r="A496" s="2" t="s">
        <v>3283</v>
      </c>
      <c r="B496" s="7">
        <v>44132</v>
      </c>
      <c r="C496" s="2" t="s">
        <v>3284</v>
      </c>
      <c r="D496" t="s">
        <v>6169</v>
      </c>
      <c r="E496" s="2">
        <v>2</v>
      </c>
      <c r="F496" s="2" t="str">
        <f>_xlfn.XLOOKUP(C496,customers!$A$1:$A$1001,customers!$B$1:$B$1001,"",0)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6">
        <f>INDEX(products!$A$1:$G$49,MATCH(orders!$D496,products!$A$1:$A$49,0),MATCH(orders!K$1,products!$A$1:$G$1,0))</f>
        <v>1</v>
      </c>
      <c r="L496" s="4">
        <f>INDEX(products!$A$1:$G$49,MATCH(orders!$D496,products!$A$1:$A$49,0),MATCH(orders!L$1,products!$A$1:$G$1,0))</f>
        <v>15.85</v>
      </c>
      <c r="M496" s="4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hidden="1" x14ac:dyDescent="0.3">
      <c r="A497" s="2" t="s">
        <v>3289</v>
      </c>
      <c r="B497" s="7">
        <v>43710</v>
      </c>
      <c r="C497" s="2" t="s">
        <v>3290</v>
      </c>
      <c r="D497" t="s">
        <v>6169</v>
      </c>
      <c r="E497" s="2">
        <v>5</v>
      </c>
      <c r="F497" s="2" t="str">
        <f>_xlfn.XLOOKUP(C497,customers!$A$1:$A$1001,customers!$B$1:$B$1001,"",0)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6">
        <f>INDEX(products!$A$1:$G$49,MATCH(orders!$D497,products!$A$1:$A$49,0),MATCH(orders!K$1,products!$A$1:$G$1,0))</f>
        <v>1</v>
      </c>
      <c r="L497" s="4">
        <f>INDEX(products!$A$1:$G$49,MATCH(orders!$D497,products!$A$1:$A$49,0),MATCH(orders!L$1,products!$A$1:$G$1,0))</f>
        <v>15.85</v>
      </c>
      <c r="M497" s="4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hidden="1" x14ac:dyDescent="0.3">
      <c r="A498" s="2" t="s">
        <v>3294</v>
      </c>
      <c r="B498" s="7">
        <v>44438</v>
      </c>
      <c r="C498" s="2" t="s">
        <v>3295</v>
      </c>
      <c r="D498" t="s">
        <v>6152</v>
      </c>
      <c r="E498" s="2">
        <v>3</v>
      </c>
      <c r="F498" s="2" t="str">
        <f>_xlfn.XLOOKUP(C498,customers!$A$1:$A$1001,customers!$B$1:$B$1001,"",0)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6">
        <f>INDEX(products!$A$1:$G$49,MATCH(orders!$D498,products!$A$1:$A$49,0),MATCH(orders!K$1,products!$A$1:$G$1,0))</f>
        <v>0.2</v>
      </c>
      <c r="L498" s="4">
        <f>INDEX(products!$A$1:$G$49,MATCH(orders!$D498,products!$A$1:$A$49,0),MATCH(orders!L$1,products!$A$1:$G$1,0))</f>
        <v>3.645</v>
      </c>
      <c r="M498" s="4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hidden="1" x14ac:dyDescent="0.3">
      <c r="A499" s="2" t="s">
        <v>3300</v>
      </c>
      <c r="B499" s="7">
        <v>44351</v>
      </c>
      <c r="C499" s="2" t="s">
        <v>3301</v>
      </c>
      <c r="D499" t="s">
        <v>6146</v>
      </c>
      <c r="E499" s="2">
        <v>4</v>
      </c>
      <c r="F499" s="2" t="str">
        <f>_xlfn.XLOOKUP(C499,customers!$A$1:$A$1001,customers!$B$1:$B$1001,"",0)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6">
        <f>INDEX(products!$A$1:$G$49,MATCH(orders!$D499,products!$A$1:$A$49,0),MATCH(orders!K$1,products!$A$1:$G$1,0))</f>
        <v>1</v>
      </c>
      <c r="L499" s="4">
        <f>INDEX(products!$A$1:$G$49,MATCH(orders!$D499,products!$A$1:$A$49,0),MATCH(orders!L$1,products!$A$1:$G$1,0))</f>
        <v>9.9499999999999993</v>
      </c>
      <c r="M499" s="4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hidden="1" x14ac:dyDescent="0.3">
      <c r="A500" s="2" t="s">
        <v>3307</v>
      </c>
      <c r="B500" s="7">
        <v>44159</v>
      </c>
      <c r="C500" s="2" t="s">
        <v>3368</v>
      </c>
      <c r="D500" t="s">
        <v>6137</v>
      </c>
      <c r="E500" s="2">
        <v>5</v>
      </c>
      <c r="F500" s="2" t="str">
        <f>_xlfn.XLOOKUP(C500,customers!$A$1:$A$1001,customers!$B$1:$B$1001,"",0)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6">
        <f>INDEX(products!$A$1:$G$49,MATCH(orders!$D500,products!$A$1:$A$49,0),MATCH(orders!K$1,products!$A$1:$G$1,0))</f>
        <v>1</v>
      </c>
      <c r="L500" s="4">
        <f>INDEX(products!$A$1:$G$49,MATCH(orders!$D500,products!$A$1:$A$49,0),MATCH(orders!L$1,products!$A$1:$G$1,0))</f>
        <v>9.9499999999999993</v>
      </c>
      <c r="M500" s="4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hidden="1" x14ac:dyDescent="0.3">
      <c r="A501" s="2" t="s">
        <v>3313</v>
      </c>
      <c r="B501" s="7">
        <v>44003</v>
      </c>
      <c r="C501" s="2" t="s">
        <v>3314</v>
      </c>
      <c r="D501" t="s">
        <v>6162</v>
      </c>
      <c r="E501" s="2">
        <v>3</v>
      </c>
      <c r="F501" s="2" t="str">
        <f>_xlfn.XLOOKUP(C501,customers!$A$1:$A$1001,customers!$B$1:$B$1001,"",0)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6">
        <f>INDEX(products!$A$1:$G$49,MATCH(orders!$D501,products!$A$1:$A$49,0),MATCH(orders!K$1,products!$A$1:$G$1,0))</f>
        <v>0.2</v>
      </c>
      <c r="L501" s="4">
        <f>INDEX(products!$A$1:$G$49,MATCH(orders!$D501,products!$A$1:$A$49,0),MATCH(orders!L$1,products!$A$1:$G$1,0))</f>
        <v>2.6849999999999996</v>
      </c>
      <c r="M501" s="4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hidden="1" x14ac:dyDescent="0.3">
      <c r="A502" s="2" t="s">
        <v>3318</v>
      </c>
      <c r="B502" s="7">
        <v>44025</v>
      </c>
      <c r="C502" s="2" t="s">
        <v>3319</v>
      </c>
      <c r="D502" t="s">
        <v>6178</v>
      </c>
      <c r="E502" s="2">
        <v>4</v>
      </c>
      <c r="F502" s="2" t="str">
        <f>_xlfn.XLOOKUP(C502,customers!$A$1:$A$1001,customers!$B$1:$B$1001,"",0)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6">
        <f>INDEX(products!$A$1:$G$49,MATCH(orders!$D502,products!$A$1:$A$49,0),MATCH(orders!K$1,products!$A$1:$G$1,0))</f>
        <v>1</v>
      </c>
      <c r="L502" s="4">
        <f>INDEX(products!$A$1:$G$49,MATCH(orders!$D502,products!$A$1:$A$49,0),MATCH(orders!L$1,products!$A$1:$G$1,0))</f>
        <v>11.95</v>
      </c>
      <c r="M502" s="4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hidden="1" x14ac:dyDescent="0.3">
      <c r="A503" s="2" t="s">
        <v>3323</v>
      </c>
      <c r="B503" s="7">
        <v>43467</v>
      </c>
      <c r="C503" s="2" t="s">
        <v>3324</v>
      </c>
      <c r="D503" t="s">
        <v>6173</v>
      </c>
      <c r="E503" s="2">
        <v>4</v>
      </c>
      <c r="F503" s="2" t="str">
        <f>_xlfn.XLOOKUP(C503,customers!$A$1:$A$1001,customers!$B$1:$B$1001,"",0)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6">
        <f>INDEX(products!$A$1:$G$49,MATCH(orders!$D503,products!$A$1:$A$49,0),MATCH(orders!K$1,products!$A$1:$G$1,0))</f>
        <v>0.2</v>
      </c>
      <c r="L503" s="4">
        <f>INDEX(products!$A$1:$G$49,MATCH(orders!$D503,products!$A$1:$A$49,0),MATCH(orders!L$1,products!$A$1:$G$1,0))</f>
        <v>2.9849999999999999</v>
      </c>
      <c r="M503" s="4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hidden="1" x14ac:dyDescent="0.3">
      <c r="A504" s="2" t="s">
        <v>3323</v>
      </c>
      <c r="B504" s="7">
        <v>43467</v>
      </c>
      <c r="C504" s="2" t="s">
        <v>3324</v>
      </c>
      <c r="D504" t="s">
        <v>6155</v>
      </c>
      <c r="E504" s="2">
        <v>4</v>
      </c>
      <c r="F504" s="2" t="str">
        <f>_xlfn.XLOOKUP(C504,customers!$A$1:$A$1001,customers!$B$1:$B$1001,"",0)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6">
        <f>INDEX(products!$A$1:$G$49,MATCH(orders!$D504,products!$A$1:$A$49,0),MATCH(orders!K$1,products!$A$1:$G$1,0))</f>
        <v>0.2</v>
      </c>
      <c r="L504" s="4">
        <f>INDEX(products!$A$1:$G$49,MATCH(orders!$D504,products!$A$1:$A$49,0),MATCH(orders!L$1,products!$A$1:$G$1,0))</f>
        <v>4.125</v>
      </c>
      <c r="M504" s="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hidden="1" x14ac:dyDescent="0.3">
      <c r="A505" s="2" t="s">
        <v>3323</v>
      </c>
      <c r="B505" s="7">
        <v>43467</v>
      </c>
      <c r="C505" s="2" t="s">
        <v>3324</v>
      </c>
      <c r="D505" t="s">
        <v>6142</v>
      </c>
      <c r="E505" s="2">
        <v>4</v>
      </c>
      <c r="F505" s="2" t="str">
        <f>_xlfn.XLOOKUP(C505,customers!$A$1:$A$1001,customers!$B$1:$B$1001,"",0)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6">
        <f>INDEX(products!$A$1:$G$49,MATCH(orders!$D505,products!$A$1:$A$49,0),MATCH(orders!K$1,products!$A$1:$G$1,0))</f>
        <v>1</v>
      </c>
      <c r="L505" s="4">
        <f>INDEX(products!$A$1:$G$49,MATCH(orders!$D505,products!$A$1:$A$49,0),MATCH(orders!L$1,products!$A$1:$G$1,0))</f>
        <v>12.95</v>
      </c>
      <c r="M505" s="4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hidden="1" x14ac:dyDescent="0.3">
      <c r="A506" s="2" t="s">
        <v>3323</v>
      </c>
      <c r="B506" s="7">
        <v>43467</v>
      </c>
      <c r="C506" s="2" t="s">
        <v>3324</v>
      </c>
      <c r="D506" t="s">
        <v>6144</v>
      </c>
      <c r="E506" s="2">
        <v>3</v>
      </c>
      <c r="F506" s="2" t="str">
        <f>_xlfn.XLOOKUP(C506,customers!$A$1:$A$1001,customers!$B$1:$B$1001,"",0)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6">
        <f>INDEX(products!$A$1:$G$49,MATCH(orders!$D506,products!$A$1:$A$49,0),MATCH(orders!K$1,products!$A$1:$G$1,0))</f>
        <v>0.2</v>
      </c>
      <c r="L506" s="4">
        <f>INDEX(products!$A$1:$G$49,MATCH(orders!$D506,products!$A$1:$A$49,0),MATCH(orders!L$1,products!$A$1:$G$1,0))</f>
        <v>4.7549999999999999</v>
      </c>
      <c r="M506" s="4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3">
      <c r="A507" s="2" t="s">
        <v>3343</v>
      </c>
      <c r="B507" s="7">
        <v>44609</v>
      </c>
      <c r="C507" s="2" t="s">
        <v>3344</v>
      </c>
      <c r="D507" t="s">
        <v>6158</v>
      </c>
      <c r="E507" s="2">
        <v>6</v>
      </c>
      <c r="F507" s="2" t="str">
        <f>_xlfn.XLOOKUP(C507,customers!$A$1:$A$1001,customers!$B$1:$B$1001,"",0)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6">
        <f>INDEX(products!$A$1:$G$49,MATCH(orders!$D507,products!$A$1:$A$49,0),MATCH(orders!K$1,products!$A$1:$G$1,0))</f>
        <v>0.2</v>
      </c>
      <c r="L507" s="4">
        <f>INDEX(products!$A$1:$G$49,MATCH(orders!$D507,products!$A$1:$A$49,0),MATCH(orders!L$1,products!$A$1:$G$1,0))</f>
        <v>4.3650000000000002</v>
      </c>
      <c r="M507" s="4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hidden="1" x14ac:dyDescent="0.3">
      <c r="A508" s="2" t="s">
        <v>3349</v>
      </c>
      <c r="B508" s="7">
        <v>44184</v>
      </c>
      <c r="C508" s="2" t="s">
        <v>3350</v>
      </c>
      <c r="D508" t="s">
        <v>6139</v>
      </c>
      <c r="E508" s="2">
        <v>2</v>
      </c>
      <c r="F508" s="2" t="str">
        <f>_xlfn.XLOOKUP(C508,customers!$A$1:$A$1001,customers!$B$1:$B$1001,"",0)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6">
        <f>INDEX(products!$A$1:$G$49,MATCH(orders!$D508,products!$A$1:$A$49,0),MATCH(orders!K$1,products!$A$1:$G$1,0))</f>
        <v>1</v>
      </c>
      <c r="L508" s="4">
        <f>INDEX(products!$A$1:$G$49,MATCH(orders!$D508,products!$A$1:$A$49,0),MATCH(orders!L$1,products!$A$1:$G$1,0))</f>
        <v>12.95</v>
      </c>
      <c r="M508" s="4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hidden="1" x14ac:dyDescent="0.3">
      <c r="A509" s="2" t="s">
        <v>3355</v>
      </c>
      <c r="B509" s="7">
        <v>43516</v>
      </c>
      <c r="C509" s="2" t="s">
        <v>3356</v>
      </c>
      <c r="D509" t="s">
        <v>6181</v>
      </c>
      <c r="E509" s="2">
        <v>3</v>
      </c>
      <c r="F509" s="2" t="str">
        <f>_xlfn.XLOOKUP(C509,customers!$A$1:$A$1001,customers!$B$1:$B$1001,"",0)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6">
        <f>INDEX(products!$A$1:$G$49,MATCH(orders!$D509,products!$A$1:$A$49,0),MATCH(orders!K$1,products!$A$1:$G$1,0))</f>
        <v>2.5</v>
      </c>
      <c r="L509" s="4">
        <f>INDEX(products!$A$1:$G$49,MATCH(orders!$D509,products!$A$1:$A$49,0),MATCH(orders!L$1,products!$A$1:$G$1,0))</f>
        <v>29.784999999999997</v>
      </c>
      <c r="M509" s="4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hidden="1" x14ac:dyDescent="0.3">
      <c r="A510" s="2" t="s">
        <v>3361</v>
      </c>
      <c r="B510" s="7">
        <v>44210</v>
      </c>
      <c r="C510" s="2" t="s">
        <v>3362</v>
      </c>
      <c r="D510" t="s">
        <v>6168</v>
      </c>
      <c r="E510" s="2">
        <v>6</v>
      </c>
      <c r="F510" s="2" t="str">
        <f>_xlfn.XLOOKUP(C510,customers!$A$1:$A$1001,customers!$B$1:$B$1001,"",0)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6">
        <f>INDEX(products!$A$1:$G$49,MATCH(orders!$D510,products!$A$1:$A$49,0),MATCH(orders!K$1,products!$A$1:$G$1,0))</f>
        <v>0.5</v>
      </c>
      <c r="L510" s="4">
        <f>INDEX(products!$A$1:$G$49,MATCH(orders!$D510,products!$A$1:$A$49,0),MATCH(orders!L$1,products!$A$1:$G$1,0))</f>
        <v>7.77</v>
      </c>
      <c r="M510" s="4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hidden="1" x14ac:dyDescent="0.3">
      <c r="A511" s="2" t="s">
        <v>3367</v>
      </c>
      <c r="B511" s="7">
        <v>43785</v>
      </c>
      <c r="C511" s="2" t="s">
        <v>3368</v>
      </c>
      <c r="D511" t="s">
        <v>6146</v>
      </c>
      <c r="E511" s="2">
        <v>3</v>
      </c>
      <c r="F511" s="2" t="str">
        <f>_xlfn.XLOOKUP(C511,customers!$A$1:$A$1001,customers!$B$1:$B$1001,"",0)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6">
        <f>INDEX(products!$A$1:$G$49,MATCH(orders!$D511,products!$A$1:$A$49,0),MATCH(orders!K$1,products!$A$1:$G$1,0))</f>
        <v>1</v>
      </c>
      <c r="L511" s="4">
        <f>INDEX(products!$A$1:$G$49,MATCH(orders!$D511,products!$A$1:$A$49,0),MATCH(orders!L$1,products!$A$1:$G$1,0))</f>
        <v>9.9499999999999993</v>
      </c>
      <c r="M511" s="4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hidden="1" x14ac:dyDescent="0.3">
      <c r="A512" s="2" t="s">
        <v>3373</v>
      </c>
      <c r="B512" s="7">
        <v>43803</v>
      </c>
      <c r="C512" s="2" t="s">
        <v>3374</v>
      </c>
      <c r="D512" t="s">
        <v>6177</v>
      </c>
      <c r="E512" s="2">
        <v>3</v>
      </c>
      <c r="F512" s="2" t="str">
        <f>_xlfn.XLOOKUP(C512,customers!$A$1:$A$1001,customers!$B$1:$B$1001,"",0)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6">
        <f>INDEX(products!$A$1:$G$49,MATCH(orders!$D512,products!$A$1:$A$49,0),MATCH(orders!K$1,products!$A$1:$G$1,0))</f>
        <v>0.2</v>
      </c>
      <c r="L512" s="4">
        <f>INDEX(products!$A$1:$G$49,MATCH(orders!$D512,products!$A$1:$A$49,0),MATCH(orders!L$1,products!$A$1:$G$1,0))</f>
        <v>3.5849999999999995</v>
      </c>
      <c r="M512" s="4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hidden="1" x14ac:dyDescent="0.3">
      <c r="A513" s="2" t="s">
        <v>3379</v>
      </c>
      <c r="B513" s="7">
        <v>44043</v>
      </c>
      <c r="C513" s="2" t="s">
        <v>3380</v>
      </c>
      <c r="D513" t="s">
        <v>6151</v>
      </c>
      <c r="E513" s="2">
        <v>4</v>
      </c>
      <c r="F513" s="2" t="str">
        <f>_xlfn.XLOOKUP(C513,customers!$A$1:$A$1001,customers!$B$1:$B$1001,"",0)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6">
        <f>INDEX(products!$A$1:$G$49,MATCH(orders!$D513,products!$A$1:$A$49,0),MATCH(orders!K$1,products!$A$1:$G$1,0))</f>
        <v>0.2</v>
      </c>
      <c r="L513" s="4">
        <f>INDEX(products!$A$1:$G$49,MATCH(orders!$D513,products!$A$1:$A$49,0),MATCH(orders!L$1,products!$A$1:$G$1,0))</f>
        <v>3.375</v>
      </c>
      <c r="M513" s="4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hidden="1" x14ac:dyDescent="0.3">
      <c r="A514" s="2" t="s">
        <v>3385</v>
      </c>
      <c r="B514" s="7">
        <v>43535</v>
      </c>
      <c r="C514" s="2" t="s">
        <v>3386</v>
      </c>
      <c r="D514" t="s">
        <v>6169</v>
      </c>
      <c r="E514" s="2">
        <v>3</v>
      </c>
      <c r="F514" s="2" t="str">
        <f>_xlfn.XLOOKUP(C514,customers!$A$1:$A$1001,customers!$B$1:$B$1001,"",0)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6">
        <f>INDEX(products!$A$1:$G$49,MATCH(orders!$D514,products!$A$1:$A$49,0),MATCH(orders!K$1,products!$A$1:$G$1,0))</f>
        <v>1</v>
      </c>
      <c r="L514" s="4">
        <f>INDEX(products!$A$1:$G$49,MATCH(orders!$D514,products!$A$1:$A$49,0),MATCH(orders!L$1,products!$A$1:$G$1,0))</f>
        <v>15.85</v>
      </c>
      <c r="M514" s="4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3">
      <c r="A515" s="2" t="s">
        <v>3391</v>
      </c>
      <c r="B515" s="7">
        <v>44691</v>
      </c>
      <c r="C515" s="2" t="s">
        <v>3392</v>
      </c>
      <c r="D515" t="s">
        <v>6169</v>
      </c>
      <c r="E515" s="2">
        <v>5</v>
      </c>
      <c r="F515" s="2" t="str">
        <f>_xlfn.XLOOKUP(C515,customers!$A$1:$A$1001,customers!$B$1:$B$1001,"",0)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6">
        <f>INDEX(products!$A$1:$G$49,MATCH(orders!$D515,products!$A$1:$A$49,0),MATCH(orders!K$1,products!$A$1:$G$1,0))</f>
        <v>1</v>
      </c>
      <c r="L515" s="4">
        <f>INDEX(products!$A$1:$G$49,MATCH(orders!$D515,products!$A$1:$A$49,0),MATCH(orders!L$1,products!$A$1:$G$1,0))</f>
        <v>15.85</v>
      </c>
      <c r="M515" s="4">
        <f t="shared" ref="M515:M578" si="24">E515*L515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hidden="1" x14ac:dyDescent="0.3">
      <c r="A516" s="2" t="s">
        <v>3396</v>
      </c>
      <c r="B516" s="7">
        <v>44555</v>
      </c>
      <c r="C516" s="2" t="s">
        <v>3397</v>
      </c>
      <c r="D516" t="s">
        <v>6158</v>
      </c>
      <c r="E516" s="2">
        <v>6</v>
      </c>
      <c r="F516" s="2" t="str">
        <f>_xlfn.XLOOKUP(C516,customers!$A$1:$A$1001,customers!$B$1:$B$1001,"",0)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6">
        <f>INDEX(products!$A$1:$G$49,MATCH(orders!$D516,products!$A$1:$A$49,0),MATCH(orders!K$1,products!$A$1:$G$1,0))</f>
        <v>0.2</v>
      </c>
      <c r="L516" s="4">
        <f>INDEX(products!$A$1:$G$49,MATCH(orders!$D516,products!$A$1:$A$49,0),MATCH(orders!L$1,products!$A$1:$G$1,0))</f>
        <v>4.3650000000000002</v>
      </c>
      <c r="M516" s="4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3">
      <c r="A517" s="2" t="s">
        <v>3402</v>
      </c>
      <c r="B517" s="7">
        <v>44673</v>
      </c>
      <c r="C517" s="2" t="s">
        <v>3403</v>
      </c>
      <c r="D517" t="s">
        <v>6172</v>
      </c>
      <c r="E517" s="2">
        <v>3</v>
      </c>
      <c r="F517" s="2" t="str">
        <f>_xlfn.XLOOKUP(C517,customers!$A$1:$A$1001,customers!$B$1:$B$1001,"",0)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6">
        <f>INDEX(products!$A$1:$G$49,MATCH(orders!$D517,products!$A$1:$A$49,0),MATCH(orders!K$1,products!$A$1:$G$1,0))</f>
        <v>0.5</v>
      </c>
      <c r="L517" s="4">
        <f>INDEX(products!$A$1:$G$49,MATCH(orders!$D517,products!$A$1:$A$49,0),MATCH(orders!L$1,products!$A$1:$G$1,0))</f>
        <v>7.169999999999999</v>
      </c>
      <c r="M517" s="4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3">
      <c r="A518" s="2" t="s">
        <v>3408</v>
      </c>
      <c r="B518" s="7">
        <v>44723</v>
      </c>
      <c r="C518" s="2" t="s">
        <v>3409</v>
      </c>
      <c r="D518" t="s">
        <v>6148</v>
      </c>
      <c r="E518" s="2">
        <v>5</v>
      </c>
      <c r="F518" s="2" t="str">
        <f>_xlfn.XLOOKUP(C518,customers!$A$1:$A$1001,customers!$B$1:$B$1001,"",0)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6">
        <f>INDEX(products!$A$1:$G$49,MATCH(orders!$D518,products!$A$1:$A$49,0),MATCH(orders!K$1,products!$A$1:$G$1,0))</f>
        <v>2.5</v>
      </c>
      <c r="L518" s="4">
        <f>INDEX(products!$A$1:$G$49,MATCH(orders!$D518,products!$A$1:$A$49,0),MATCH(orders!L$1,products!$A$1:$G$1,0))</f>
        <v>20.584999999999997</v>
      </c>
      <c r="M518" s="4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3">
      <c r="A519" s="2" t="s">
        <v>3413</v>
      </c>
      <c r="B519" s="7">
        <v>44678</v>
      </c>
      <c r="C519" s="2" t="s">
        <v>3414</v>
      </c>
      <c r="D519" t="s">
        <v>6149</v>
      </c>
      <c r="E519" s="2">
        <v>2</v>
      </c>
      <c r="F519" s="2" t="str">
        <f>_xlfn.XLOOKUP(C519,customers!$A$1:$A$1001,customers!$B$1:$B$1001,"",0)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6">
        <f>INDEX(products!$A$1:$G$49,MATCH(orders!$D519,products!$A$1:$A$49,0),MATCH(orders!K$1,products!$A$1:$G$1,0))</f>
        <v>0.2</v>
      </c>
      <c r="L519" s="4">
        <f>INDEX(products!$A$1:$G$49,MATCH(orders!$D519,products!$A$1:$A$49,0),MATCH(orders!L$1,products!$A$1:$G$1,0))</f>
        <v>3.8849999999999998</v>
      </c>
      <c r="M519" s="4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hidden="1" x14ac:dyDescent="0.3">
      <c r="A520" s="2" t="s">
        <v>3418</v>
      </c>
      <c r="B520" s="7">
        <v>44194</v>
      </c>
      <c r="C520" s="2" t="s">
        <v>3419</v>
      </c>
      <c r="D520" t="s">
        <v>6184</v>
      </c>
      <c r="E520" s="2">
        <v>5</v>
      </c>
      <c r="F520" s="2" t="str">
        <f>_xlfn.XLOOKUP(C520,customers!$A$1:$A$1001,customers!$B$1:$B$1001,"",0)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6">
        <f>INDEX(products!$A$1:$G$49,MATCH(orders!$D520,products!$A$1:$A$49,0),MATCH(orders!K$1,products!$A$1:$G$1,0))</f>
        <v>2.5</v>
      </c>
      <c r="L520" s="4">
        <f>INDEX(products!$A$1:$G$49,MATCH(orders!$D520,products!$A$1:$A$49,0),MATCH(orders!L$1,products!$A$1:$G$1,0))</f>
        <v>27.945</v>
      </c>
      <c r="M520" s="4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hidden="1" x14ac:dyDescent="0.3">
      <c r="A521" s="2" t="s">
        <v>3424</v>
      </c>
      <c r="B521" s="7">
        <v>44026</v>
      </c>
      <c r="C521" s="2" t="s">
        <v>3368</v>
      </c>
      <c r="D521" t="s">
        <v>6157</v>
      </c>
      <c r="E521" s="2">
        <v>2</v>
      </c>
      <c r="F521" s="2" t="str">
        <f>_xlfn.XLOOKUP(C521,customers!$A$1:$A$1001,customers!$B$1:$B$1001,"",0)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6">
        <f>INDEX(products!$A$1:$G$49,MATCH(orders!$D521,products!$A$1:$A$49,0),MATCH(orders!K$1,products!$A$1:$G$1,0))</f>
        <v>0.5</v>
      </c>
      <c r="L521" s="4">
        <f>INDEX(products!$A$1:$G$49,MATCH(orders!$D521,products!$A$1:$A$49,0),MATCH(orders!L$1,products!$A$1:$G$1,0))</f>
        <v>5.97</v>
      </c>
      <c r="M521" s="4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hidden="1" x14ac:dyDescent="0.3">
      <c r="A522" s="2" t="s">
        <v>3430</v>
      </c>
      <c r="B522" s="7">
        <v>44446</v>
      </c>
      <c r="C522" s="2" t="s">
        <v>3431</v>
      </c>
      <c r="D522" t="s">
        <v>6149</v>
      </c>
      <c r="E522" s="2">
        <v>1</v>
      </c>
      <c r="F522" s="2" t="str">
        <f>_xlfn.XLOOKUP(C522,customers!$A$1:$A$1001,customers!$B$1:$B$1001,"",0)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6">
        <f>INDEX(products!$A$1:$G$49,MATCH(orders!$D522,products!$A$1:$A$49,0),MATCH(orders!K$1,products!$A$1:$G$1,0))</f>
        <v>0.2</v>
      </c>
      <c r="L522" s="4">
        <f>INDEX(products!$A$1:$G$49,MATCH(orders!$D522,products!$A$1:$A$49,0),MATCH(orders!L$1,products!$A$1:$G$1,0))</f>
        <v>3.8849999999999998</v>
      </c>
      <c r="M522" s="4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hidden="1" x14ac:dyDescent="0.3">
      <c r="A523" s="2" t="s">
        <v>3430</v>
      </c>
      <c r="B523" s="7">
        <v>44446</v>
      </c>
      <c r="C523" s="2" t="s">
        <v>3431</v>
      </c>
      <c r="D523" t="s">
        <v>6137</v>
      </c>
      <c r="E523" s="2">
        <v>4</v>
      </c>
      <c r="F523" s="2" t="str">
        <f>_xlfn.XLOOKUP(C523,customers!$A$1:$A$1001,customers!$B$1:$B$1001,"",0)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6">
        <f>INDEX(products!$A$1:$G$49,MATCH(orders!$D523,products!$A$1:$A$49,0),MATCH(orders!K$1,products!$A$1:$G$1,0))</f>
        <v>1</v>
      </c>
      <c r="L523" s="4">
        <f>INDEX(products!$A$1:$G$49,MATCH(orders!$D523,products!$A$1:$A$49,0),MATCH(orders!L$1,products!$A$1:$G$1,0))</f>
        <v>9.9499999999999993</v>
      </c>
      <c r="M523" s="4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hidden="1" x14ac:dyDescent="0.3">
      <c r="A524" s="2" t="s">
        <v>3441</v>
      </c>
      <c r="B524" s="7">
        <v>43625</v>
      </c>
      <c r="C524" s="2" t="s">
        <v>3442</v>
      </c>
      <c r="D524" t="s">
        <v>6145</v>
      </c>
      <c r="E524" s="2">
        <v>5</v>
      </c>
      <c r="F524" s="2" t="str">
        <f>_xlfn.XLOOKUP(C524,customers!$A$1:$A$1001,customers!$B$1:$B$1001,"",0)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6">
        <f>INDEX(products!$A$1:$G$49,MATCH(orders!$D524,products!$A$1:$A$49,0),MATCH(orders!K$1,products!$A$1:$G$1,0))</f>
        <v>0.5</v>
      </c>
      <c r="L524" s="4">
        <f>INDEX(products!$A$1:$G$49,MATCH(orders!$D524,products!$A$1:$A$49,0),MATCH(orders!L$1,products!$A$1:$G$1,0))</f>
        <v>5.97</v>
      </c>
      <c r="M524" s="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hidden="1" x14ac:dyDescent="0.3">
      <c r="A525" s="2" t="s">
        <v>3447</v>
      </c>
      <c r="B525" s="7">
        <v>44129</v>
      </c>
      <c r="C525" s="2" t="s">
        <v>3448</v>
      </c>
      <c r="D525" t="s">
        <v>6164</v>
      </c>
      <c r="E525" s="2">
        <v>1</v>
      </c>
      <c r="F525" s="2" t="str">
        <f>_xlfn.XLOOKUP(C525,customers!$A$1:$A$1001,customers!$B$1:$B$1001,"",0)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6">
        <f>INDEX(products!$A$1:$G$49,MATCH(orders!$D525,products!$A$1:$A$49,0),MATCH(orders!K$1,products!$A$1:$G$1,0))</f>
        <v>2.5</v>
      </c>
      <c r="L525" s="4">
        <f>INDEX(products!$A$1:$G$49,MATCH(orders!$D525,products!$A$1:$A$49,0),MATCH(orders!L$1,products!$A$1:$G$1,0))</f>
        <v>29.784999999999997</v>
      </c>
      <c r="M525" s="4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hidden="1" x14ac:dyDescent="0.3">
      <c r="A526" s="2" t="s">
        <v>3453</v>
      </c>
      <c r="B526" s="7">
        <v>44255</v>
      </c>
      <c r="C526" s="2" t="s">
        <v>3454</v>
      </c>
      <c r="D526" t="s">
        <v>6163</v>
      </c>
      <c r="E526" s="2">
        <v>2</v>
      </c>
      <c r="F526" s="2" t="str">
        <f>_xlfn.XLOOKUP(C526,customers!$A$1:$A$1001,customers!$B$1:$B$1001,"",0)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6">
        <f>INDEX(products!$A$1:$G$49,MATCH(orders!$D526,products!$A$1:$A$49,0),MATCH(orders!K$1,products!$A$1:$G$1,0))</f>
        <v>2.5</v>
      </c>
      <c r="L526" s="4">
        <f>INDEX(products!$A$1:$G$49,MATCH(orders!$D526,products!$A$1:$A$49,0),MATCH(orders!L$1,products!$A$1:$G$1,0))</f>
        <v>36.454999999999998</v>
      </c>
      <c r="M526" s="4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hidden="1" x14ac:dyDescent="0.3">
      <c r="A527" s="2" t="s">
        <v>3458</v>
      </c>
      <c r="B527" s="7">
        <v>44038</v>
      </c>
      <c r="C527" s="2" t="s">
        <v>3459</v>
      </c>
      <c r="D527" t="s">
        <v>6162</v>
      </c>
      <c r="E527" s="2">
        <v>5</v>
      </c>
      <c r="F527" s="2" t="str">
        <f>_xlfn.XLOOKUP(C527,customers!$A$1:$A$1001,customers!$B$1:$B$1001,"",0)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6">
        <f>INDEX(products!$A$1:$G$49,MATCH(orders!$D527,products!$A$1:$A$49,0),MATCH(orders!K$1,products!$A$1:$G$1,0))</f>
        <v>0.2</v>
      </c>
      <c r="L527" s="4">
        <f>INDEX(products!$A$1:$G$49,MATCH(orders!$D527,products!$A$1:$A$49,0),MATCH(orders!L$1,products!$A$1:$G$1,0))</f>
        <v>2.6849999999999996</v>
      </c>
      <c r="M527" s="4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3">
      <c r="A528" s="2" t="s">
        <v>3463</v>
      </c>
      <c r="B528" s="7">
        <v>44717</v>
      </c>
      <c r="C528" s="2" t="s">
        <v>3464</v>
      </c>
      <c r="D528" t="s">
        <v>6165</v>
      </c>
      <c r="E528" s="2">
        <v>4</v>
      </c>
      <c r="F528" s="2" t="str">
        <f>_xlfn.XLOOKUP(C528,customers!$A$1:$A$1001,customers!$B$1:$B$1001,"",0)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6">
        <f>INDEX(products!$A$1:$G$49,MATCH(orders!$D528,products!$A$1:$A$49,0),MATCH(orders!K$1,products!$A$1:$G$1,0))</f>
        <v>2.5</v>
      </c>
      <c r="L528" s="4">
        <f>INDEX(products!$A$1:$G$49,MATCH(orders!$D528,products!$A$1:$A$49,0),MATCH(orders!L$1,products!$A$1:$G$1,0))</f>
        <v>31.624999999999996</v>
      </c>
      <c r="M528" s="4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hidden="1" x14ac:dyDescent="0.3">
      <c r="A529" s="2" t="s">
        <v>3469</v>
      </c>
      <c r="B529" s="7">
        <v>43517</v>
      </c>
      <c r="C529" s="2" t="s">
        <v>3470</v>
      </c>
      <c r="D529" t="s">
        <v>6138</v>
      </c>
      <c r="E529" s="2">
        <v>5</v>
      </c>
      <c r="F529" s="2" t="str">
        <f>_xlfn.XLOOKUP(C529,customers!$A$1:$A$1001,customers!$B$1:$B$1001,"",0)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6">
        <f>INDEX(products!$A$1:$G$49,MATCH(orders!$D529,products!$A$1:$A$49,0),MATCH(orders!K$1,products!$A$1:$G$1,0))</f>
        <v>0.5</v>
      </c>
      <c r="L529" s="4">
        <f>INDEX(products!$A$1:$G$49,MATCH(orders!$D529,products!$A$1:$A$49,0),MATCH(orders!L$1,products!$A$1:$G$1,0))</f>
        <v>8.25</v>
      </c>
      <c r="M529" s="4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hidden="1" x14ac:dyDescent="0.3">
      <c r="A530" s="2" t="s">
        <v>3475</v>
      </c>
      <c r="B530" s="7">
        <v>43926</v>
      </c>
      <c r="C530" s="2" t="s">
        <v>3476</v>
      </c>
      <c r="D530" t="s">
        <v>6175</v>
      </c>
      <c r="E530" s="2">
        <v>6</v>
      </c>
      <c r="F530" s="2" t="str">
        <f>_xlfn.XLOOKUP(C530,customers!$A$1:$A$1001,customers!$B$1:$B$1001,"",0)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6">
        <f>INDEX(products!$A$1:$G$49,MATCH(orders!$D530,products!$A$1:$A$49,0),MATCH(orders!K$1,products!$A$1:$G$1,0))</f>
        <v>0.5</v>
      </c>
      <c r="L530" s="4">
        <f>INDEX(products!$A$1:$G$49,MATCH(orders!$D530,products!$A$1:$A$49,0),MATCH(orders!L$1,products!$A$1:$G$1,0))</f>
        <v>8.91</v>
      </c>
      <c r="M530" s="4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hidden="1" x14ac:dyDescent="0.3">
      <c r="A531" s="2" t="s">
        <v>3481</v>
      </c>
      <c r="B531" s="7">
        <v>43475</v>
      </c>
      <c r="C531" s="2" t="s">
        <v>3482</v>
      </c>
      <c r="D531" t="s">
        <v>6137</v>
      </c>
      <c r="E531" s="2">
        <v>6</v>
      </c>
      <c r="F531" s="2" t="str">
        <f>_xlfn.XLOOKUP(C531,customers!$A$1:$A$1001,customers!$B$1:$B$1001,"",0)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6">
        <f>INDEX(products!$A$1:$G$49,MATCH(orders!$D531,products!$A$1:$A$49,0),MATCH(orders!K$1,products!$A$1:$G$1,0))</f>
        <v>1</v>
      </c>
      <c r="L531" s="4">
        <f>INDEX(products!$A$1:$G$49,MATCH(orders!$D531,products!$A$1:$A$49,0),MATCH(orders!L$1,products!$A$1:$G$1,0))</f>
        <v>9.9499999999999993</v>
      </c>
      <c r="M531" s="4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3">
      <c r="A532" s="2" t="s">
        <v>3487</v>
      </c>
      <c r="B532" s="7">
        <v>44663</v>
      </c>
      <c r="C532" s="2" t="s">
        <v>3488</v>
      </c>
      <c r="D532" t="s">
        <v>6137</v>
      </c>
      <c r="E532" s="2">
        <v>6</v>
      </c>
      <c r="F532" s="2" t="str">
        <f>_xlfn.XLOOKUP(C532,customers!$A$1:$A$1001,customers!$B$1:$B$1001,"",0)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6">
        <f>INDEX(products!$A$1:$G$49,MATCH(orders!$D532,products!$A$1:$A$49,0),MATCH(orders!K$1,products!$A$1:$G$1,0))</f>
        <v>1</v>
      </c>
      <c r="L532" s="4">
        <f>INDEX(products!$A$1:$G$49,MATCH(orders!$D532,products!$A$1:$A$49,0),MATCH(orders!L$1,products!$A$1:$G$1,0))</f>
        <v>9.9499999999999993</v>
      </c>
      <c r="M532" s="4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3">
      <c r="A533" s="2" t="s">
        <v>3493</v>
      </c>
      <c r="B533" s="7">
        <v>44591</v>
      </c>
      <c r="C533" s="2" t="s">
        <v>3494</v>
      </c>
      <c r="D533" t="s">
        <v>6176</v>
      </c>
      <c r="E533" s="2">
        <v>5</v>
      </c>
      <c r="F533" s="2" t="str">
        <f>_xlfn.XLOOKUP(C533,customers!$A$1:$A$1001,customers!$B$1:$B$1001,"",0)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6">
        <f>INDEX(products!$A$1:$G$49,MATCH(orders!$D533,products!$A$1:$A$49,0),MATCH(orders!K$1,products!$A$1:$G$1,0))</f>
        <v>1</v>
      </c>
      <c r="L533" s="4">
        <f>INDEX(products!$A$1:$G$49,MATCH(orders!$D533,products!$A$1:$A$49,0),MATCH(orders!L$1,products!$A$1:$G$1,0))</f>
        <v>8.9499999999999993</v>
      </c>
      <c r="M533" s="4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hidden="1" x14ac:dyDescent="0.3">
      <c r="A534" s="2" t="s">
        <v>3499</v>
      </c>
      <c r="B534" s="7">
        <v>44330</v>
      </c>
      <c r="C534" s="2" t="s">
        <v>3500</v>
      </c>
      <c r="D534" t="s">
        <v>6138</v>
      </c>
      <c r="E534" s="2">
        <v>2</v>
      </c>
      <c r="F534" s="2" t="str">
        <f>_xlfn.XLOOKUP(C534,customers!$A$1:$A$1001,customers!$B$1:$B$1001,"",0)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6">
        <f>INDEX(products!$A$1:$G$49,MATCH(orders!$D534,products!$A$1:$A$49,0),MATCH(orders!K$1,products!$A$1:$G$1,0))</f>
        <v>0.5</v>
      </c>
      <c r="L534" s="4">
        <f>INDEX(products!$A$1:$G$49,MATCH(orders!$D534,products!$A$1:$A$49,0),MATCH(orders!L$1,products!$A$1:$G$1,0))</f>
        <v>8.25</v>
      </c>
      <c r="M534" s="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3">
      <c r="A535" s="2" t="s">
        <v>3505</v>
      </c>
      <c r="B535" s="7">
        <v>44724</v>
      </c>
      <c r="C535" s="2" t="s">
        <v>3506</v>
      </c>
      <c r="D535" t="s">
        <v>6171</v>
      </c>
      <c r="E535" s="2">
        <v>4</v>
      </c>
      <c r="F535" s="2" t="str">
        <f>_xlfn.XLOOKUP(C535,customers!$A$1:$A$1001,customers!$B$1:$B$1001,"",0)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6">
        <f>INDEX(products!$A$1:$G$49,MATCH(orders!$D535,products!$A$1:$A$49,0),MATCH(orders!K$1,products!$A$1:$G$1,0))</f>
        <v>0.5</v>
      </c>
      <c r="L535" s="4">
        <f>INDEX(products!$A$1:$G$49,MATCH(orders!$D535,products!$A$1:$A$49,0),MATCH(orders!L$1,products!$A$1:$G$1,0))</f>
        <v>5.3699999999999992</v>
      </c>
      <c r="M535" s="4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3">
      <c r="A536" s="2" t="s">
        <v>3510</v>
      </c>
      <c r="B536" s="7">
        <v>44563</v>
      </c>
      <c r="C536" s="2" t="s">
        <v>3511</v>
      </c>
      <c r="D536" t="s">
        <v>6150</v>
      </c>
      <c r="E536" s="2">
        <v>2</v>
      </c>
      <c r="F536" s="2" t="str">
        <f>_xlfn.XLOOKUP(C536,customers!$A$1:$A$1001,customers!$B$1:$B$1001,"",0)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6">
        <f>INDEX(products!$A$1:$G$49,MATCH(orders!$D536,products!$A$1:$A$49,0),MATCH(orders!K$1,products!$A$1:$G$1,0))</f>
        <v>2.5</v>
      </c>
      <c r="L536" s="4">
        <f>INDEX(products!$A$1:$G$49,MATCH(orders!$D536,products!$A$1:$A$49,0),MATCH(orders!L$1,products!$A$1:$G$1,0))</f>
        <v>22.884999999999998</v>
      </c>
      <c r="M536" s="4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3">
      <c r="A537" s="2" t="s">
        <v>3516</v>
      </c>
      <c r="B537" s="7">
        <v>44585</v>
      </c>
      <c r="C537" s="2" t="s">
        <v>3517</v>
      </c>
      <c r="D537" t="s">
        <v>6144</v>
      </c>
      <c r="E537" s="2">
        <v>2</v>
      </c>
      <c r="F537" s="2" t="str">
        <f>_xlfn.XLOOKUP(C537,customers!$A$1:$A$1001,customers!$B$1:$B$1001,"",0)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6">
        <f>INDEX(products!$A$1:$G$49,MATCH(orders!$D537,products!$A$1:$A$49,0),MATCH(orders!K$1,products!$A$1:$G$1,0))</f>
        <v>0.2</v>
      </c>
      <c r="L537" s="4">
        <f>INDEX(products!$A$1:$G$49,MATCH(orders!$D537,products!$A$1:$A$49,0),MATCH(orders!L$1,products!$A$1:$G$1,0))</f>
        <v>4.7549999999999999</v>
      </c>
      <c r="M537" s="4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hidden="1" x14ac:dyDescent="0.3">
      <c r="A538" s="2" t="s">
        <v>3521</v>
      </c>
      <c r="B538" s="7">
        <v>43544</v>
      </c>
      <c r="C538" s="2" t="s">
        <v>3368</v>
      </c>
      <c r="D538" t="s">
        <v>6162</v>
      </c>
      <c r="E538" s="2">
        <v>3</v>
      </c>
      <c r="F538" s="2" t="str">
        <f>_xlfn.XLOOKUP(C538,customers!$A$1:$A$1001,customers!$B$1:$B$1001,"",0)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6">
        <f>INDEX(products!$A$1:$G$49,MATCH(orders!$D538,products!$A$1:$A$49,0),MATCH(orders!K$1,products!$A$1:$G$1,0))</f>
        <v>0.2</v>
      </c>
      <c r="L538" s="4">
        <f>INDEX(products!$A$1:$G$49,MATCH(orders!$D538,products!$A$1:$A$49,0),MATCH(orders!L$1,products!$A$1:$G$1,0))</f>
        <v>2.6849999999999996</v>
      </c>
      <c r="M538" s="4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hidden="1" x14ac:dyDescent="0.3">
      <c r="A539" s="2" t="s">
        <v>3527</v>
      </c>
      <c r="B539" s="7">
        <v>44156</v>
      </c>
      <c r="C539" s="2" t="s">
        <v>3528</v>
      </c>
      <c r="D539" t="s">
        <v>6184</v>
      </c>
      <c r="E539" s="2">
        <v>4</v>
      </c>
      <c r="F539" s="2" t="str">
        <f>_xlfn.XLOOKUP(C539,customers!$A$1:$A$1001,customers!$B$1:$B$1001,"",0)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6">
        <f>INDEX(products!$A$1:$G$49,MATCH(orders!$D539,products!$A$1:$A$49,0),MATCH(orders!K$1,products!$A$1:$G$1,0))</f>
        <v>2.5</v>
      </c>
      <c r="L539" s="4">
        <f>INDEX(products!$A$1:$G$49,MATCH(orders!$D539,products!$A$1:$A$49,0),MATCH(orders!L$1,products!$A$1:$G$1,0))</f>
        <v>27.945</v>
      </c>
      <c r="M539" s="4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hidden="1" x14ac:dyDescent="0.3">
      <c r="A540" s="2" t="s">
        <v>3532</v>
      </c>
      <c r="B540" s="7">
        <v>44482</v>
      </c>
      <c r="C540" s="2" t="s">
        <v>3533</v>
      </c>
      <c r="D540" t="s">
        <v>6162</v>
      </c>
      <c r="E540" s="2">
        <v>4</v>
      </c>
      <c r="F540" s="2" t="str">
        <f>_xlfn.XLOOKUP(C540,customers!$A$1:$A$1001,customers!$B$1:$B$1001,"",0)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6">
        <f>INDEX(products!$A$1:$G$49,MATCH(orders!$D540,products!$A$1:$A$49,0),MATCH(orders!K$1,products!$A$1:$G$1,0))</f>
        <v>0.2</v>
      </c>
      <c r="L540" s="4">
        <f>INDEX(products!$A$1:$G$49,MATCH(orders!$D540,products!$A$1:$A$49,0),MATCH(orders!L$1,products!$A$1:$G$1,0))</f>
        <v>2.6849999999999996</v>
      </c>
      <c r="M540" s="4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hidden="1" x14ac:dyDescent="0.3">
      <c r="A541" s="2" t="s">
        <v>3537</v>
      </c>
      <c r="B541" s="7">
        <v>44488</v>
      </c>
      <c r="C541" s="2" t="s">
        <v>3538</v>
      </c>
      <c r="D541" t="s">
        <v>6171</v>
      </c>
      <c r="E541" s="2">
        <v>5</v>
      </c>
      <c r="F541" s="2" t="str">
        <f>_xlfn.XLOOKUP(C541,customers!$A$1:$A$1001,customers!$B$1:$B$1001,"",0)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6">
        <f>INDEX(products!$A$1:$G$49,MATCH(orders!$D541,products!$A$1:$A$49,0),MATCH(orders!K$1,products!$A$1:$G$1,0))</f>
        <v>0.5</v>
      </c>
      <c r="L541" s="4">
        <f>INDEX(products!$A$1:$G$49,MATCH(orders!$D541,products!$A$1:$A$49,0),MATCH(orders!L$1,products!$A$1:$G$1,0))</f>
        <v>5.3699999999999992</v>
      </c>
      <c r="M541" s="4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hidden="1" x14ac:dyDescent="0.3">
      <c r="A542" s="2" t="s">
        <v>3542</v>
      </c>
      <c r="B542" s="7">
        <v>43584</v>
      </c>
      <c r="C542" s="2" t="s">
        <v>3543</v>
      </c>
      <c r="D542" t="s">
        <v>6169</v>
      </c>
      <c r="E542" s="2">
        <v>4</v>
      </c>
      <c r="F542" s="2" t="str">
        <f>_xlfn.XLOOKUP(C542,customers!$A$1:$A$1001,customers!$B$1:$B$1001,"",0)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6">
        <f>INDEX(products!$A$1:$G$49,MATCH(orders!$D542,products!$A$1:$A$49,0),MATCH(orders!K$1,products!$A$1:$G$1,0))</f>
        <v>1</v>
      </c>
      <c r="L542" s="4">
        <f>INDEX(products!$A$1:$G$49,MATCH(orders!$D542,products!$A$1:$A$49,0),MATCH(orders!L$1,products!$A$1:$G$1,0))</f>
        <v>15.85</v>
      </c>
      <c r="M542" s="4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hidden="1" x14ac:dyDescent="0.3">
      <c r="A543" s="2" t="s">
        <v>3548</v>
      </c>
      <c r="B543" s="7">
        <v>43750</v>
      </c>
      <c r="C543" s="2" t="s">
        <v>3549</v>
      </c>
      <c r="D543" t="s">
        <v>6167</v>
      </c>
      <c r="E543" s="2">
        <v>1</v>
      </c>
      <c r="F543" s="2" t="str">
        <f>_xlfn.XLOOKUP(C543,customers!$A$1:$A$1001,customers!$B$1:$B$1001,"",0)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6">
        <f>INDEX(products!$A$1:$G$49,MATCH(orders!$D543,products!$A$1:$A$49,0),MATCH(orders!K$1,products!$A$1:$G$1,0))</f>
        <v>2.5</v>
      </c>
      <c r="L543" s="4">
        <f>INDEX(products!$A$1:$G$49,MATCH(orders!$D543,products!$A$1:$A$49,0),MATCH(orders!L$1,products!$A$1:$G$1,0))</f>
        <v>22.884999999999998</v>
      </c>
      <c r="M543" s="4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hidden="1" x14ac:dyDescent="0.3">
      <c r="A544" s="2" t="s">
        <v>3553</v>
      </c>
      <c r="B544" s="7">
        <v>44335</v>
      </c>
      <c r="C544" s="2" t="s">
        <v>3554</v>
      </c>
      <c r="D544" t="s">
        <v>6174</v>
      </c>
      <c r="E544" s="2">
        <v>4</v>
      </c>
      <c r="F544" s="2" t="str">
        <f>_xlfn.XLOOKUP(C544,customers!$A$1:$A$1001,customers!$B$1:$B$1001,"",0)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6">
        <f>INDEX(products!$A$1:$G$49,MATCH(orders!$D544,products!$A$1:$A$49,0),MATCH(orders!K$1,products!$A$1:$G$1,0))</f>
        <v>2.5</v>
      </c>
      <c r="L544" s="4">
        <f>INDEX(products!$A$1:$G$49,MATCH(orders!$D544,products!$A$1:$A$49,0),MATCH(orders!L$1,products!$A$1:$G$1,0))</f>
        <v>25.874999999999996</v>
      </c>
      <c r="M544" s="4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hidden="1" x14ac:dyDescent="0.3">
      <c r="A545" s="2" t="s">
        <v>3559</v>
      </c>
      <c r="B545" s="7">
        <v>44380</v>
      </c>
      <c r="C545" s="2" t="s">
        <v>3560</v>
      </c>
      <c r="D545" t="s">
        <v>6141</v>
      </c>
      <c r="E545" s="2">
        <v>2</v>
      </c>
      <c r="F545" s="2" t="str">
        <f>_xlfn.XLOOKUP(C545,customers!$A$1:$A$1001,customers!$B$1:$B$1001,"",0)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6">
        <f>INDEX(products!$A$1:$G$49,MATCH(orders!$D545,products!$A$1:$A$49,0),MATCH(orders!K$1,products!$A$1:$G$1,0))</f>
        <v>2.5</v>
      </c>
      <c r="L545" s="4">
        <f>INDEX(products!$A$1:$G$49,MATCH(orders!$D545,products!$A$1:$A$49,0),MATCH(orders!L$1,products!$A$1:$G$1,0))</f>
        <v>27.484999999999996</v>
      </c>
      <c r="M545" s="4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hidden="1" x14ac:dyDescent="0.3">
      <c r="A546" s="2" t="s">
        <v>3565</v>
      </c>
      <c r="B546" s="7">
        <v>43869</v>
      </c>
      <c r="C546" s="2" t="s">
        <v>3566</v>
      </c>
      <c r="D546" t="s">
        <v>6179</v>
      </c>
      <c r="E546" s="2">
        <v>2</v>
      </c>
      <c r="F546" s="2" t="str">
        <f>_xlfn.XLOOKUP(C546,customers!$A$1:$A$1001,customers!$B$1:$B$1001,"",0)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6">
        <f>INDEX(products!$A$1:$G$49,MATCH(orders!$D546,products!$A$1:$A$49,0),MATCH(orders!K$1,products!$A$1:$G$1,0))</f>
        <v>0.5</v>
      </c>
      <c r="L546" s="4">
        <f>INDEX(products!$A$1:$G$49,MATCH(orders!$D546,products!$A$1:$A$49,0),MATCH(orders!L$1,products!$A$1:$G$1,0))</f>
        <v>7.77</v>
      </c>
      <c r="M546" s="4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hidden="1" x14ac:dyDescent="0.3">
      <c r="A547" s="2" t="s">
        <v>3571</v>
      </c>
      <c r="B547" s="7">
        <v>44120</v>
      </c>
      <c r="C547" s="2" t="s">
        <v>3572</v>
      </c>
      <c r="D547" t="s">
        <v>6149</v>
      </c>
      <c r="E547" s="2">
        <v>4</v>
      </c>
      <c r="F547" s="2" t="str">
        <f>_xlfn.XLOOKUP(C547,customers!$A$1:$A$1001,customers!$B$1:$B$1001,"",0)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6">
        <f>INDEX(products!$A$1:$G$49,MATCH(orders!$D547,products!$A$1:$A$49,0),MATCH(orders!K$1,products!$A$1:$G$1,0))</f>
        <v>0.2</v>
      </c>
      <c r="L547" s="4">
        <f>INDEX(products!$A$1:$G$49,MATCH(orders!$D547,products!$A$1:$A$49,0),MATCH(orders!L$1,products!$A$1:$G$1,0))</f>
        <v>3.8849999999999998</v>
      </c>
      <c r="M547" s="4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hidden="1" x14ac:dyDescent="0.3">
      <c r="A548" s="2" t="s">
        <v>3577</v>
      </c>
      <c r="B548" s="7">
        <v>44127</v>
      </c>
      <c r="C548" s="2" t="s">
        <v>3578</v>
      </c>
      <c r="D548" t="s">
        <v>6184</v>
      </c>
      <c r="E548" s="2">
        <v>3</v>
      </c>
      <c r="F548" s="2" t="str">
        <f>_xlfn.XLOOKUP(C548,customers!$A$1:$A$1001,customers!$B$1:$B$1001,"",0)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6">
        <f>INDEX(products!$A$1:$G$49,MATCH(orders!$D548,products!$A$1:$A$49,0),MATCH(orders!K$1,products!$A$1:$G$1,0))</f>
        <v>2.5</v>
      </c>
      <c r="L548" s="4">
        <f>INDEX(products!$A$1:$G$49,MATCH(orders!$D548,products!$A$1:$A$49,0),MATCH(orders!L$1,products!$A$1:$G$1,0))</f>
        <v>27.945</v>
      </c>
      <c r="M548" s="4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hidden="1" x14ac:dyDescent="0.3">
      <c r="A549" s="2" t="s">
        <v>3582</v>
      </c>
      <c r="B549" s="7">
        <v>44265</v>
      </c>
      <c r="C549" s="2" t="s">
        <v>3594</v>
      </c>
      <c r="D549" t="s">
        <v>6177</v>
      </c>
      <c r="E549" s="2">
        <v>3</v>
      </c>
      <c r="F549" s="2" t="str">
        <f>_xlfn.XLOOKUP(C549,customers!$A$1:$A$1001,customers!$B$1:$B$1001,"",0)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6">
        <f>INDEX(products!$A$1:$G$49,MATCH(orders!$D549,products!$A$1:$A$49,0),MATCH(orders!K$1,products!$A$1:$G$1,0))</f>
        <v>0.2</v>
      </c>
      <c r="L549" s="4">
        <f>INDEX(products!$A$1:$G$49,MATCH(orders!$D549,products!$A$1:$A$49,0),MATCH(orders!L$1,products!$A$1:$G$1,0))</f>
        <v>3.5849999999999995</v>
      </c>
      <c r="M549" s="4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hidden="1" x14ac:dyDescent="0.3">
      <c r="A550" s="2" t="s">
        <v>3587</v>
      </c>
      <c r="B550" s="7">
        <v>44384</v>
      </c>
      <c r="C550" s="2" t="s">
        <v>3588</v>
      </c>
      <c r="D550" t="s">
        <v>6183</v>
      </c>
      <c r="E550" s="2">
        <v>3</v>
      </c>
      <c r="F550" s="2" t="str">
        <f>_xlfn.XLOOKUP(C550,customers!$A$1:$A$1001,customers!$B$1:$B$1001,"",0)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6">
        <f>INDEX(products!$A$1:$G$49,MATCH(orders!$D550,products!$A$1:$A$49,0),MATCH(orders!K$1,products!$A$1:$G$1,0))</f>
        <v>0.2</v>
      </c>
      <c r="L550" s="4">
        <f>INDEX(products!$A$1:$G$49,MATCH(orders!$D550,products!$A$1:$A$49,0),MATCH(orders!L$1,products!$A$1:$G$1,0))</f>
        <v>4.4550000000000001</v>
      </c>
      <c r="M550" s="4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hidden="1" x14ac:dyDescent="0.3">
      <c r="A551" s="2" t="s">
        <v>3593</v>
      </c>
      <c r="B551" s="7">
        <v>44232</v>
      </c>
      <c r="C551" s="2" t="s">
        <v>3594</v>
      </c>
      <c r="D551" t="s">
        <v>6183</v>
      </c>
      <c r="E551" s="2">
        <v>4</v>
      </c>
      <c r="F551" s="2" t="str">
        <f>_xlfn.XLOOKUP(C551,customers!$A$1:$A$1001,customers!$B$1:$B$1001,"",0)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6">
        <f>INDEX(products!$A$1:$G$49,MATCH(orders!$D551,products!$A$1:$A$49,0),MATCH(orders!K$1,products!$A$1:$G$1,0))</f>
        <v>0.2</v>
      </c>
      <c r="L551" s="4">
        <f>INDEX(products!$A$1:$G$49,MATCH(orders!$D551,products!$A$1:$A$49,0),MATCH(orders!L$1,products!$A$1:$G$1,0))</f>
        <v>4.4550000000000001</v>
      </c>
      <c r="M551" s="4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hidden="1" x14ac:dyDescent="0.3">
      <c r="A552" s="2" t="s">
        <v>3599</v>
      </c>
      <c r="B552" s="7">
        <v>44176</v>
      </c>
      <c r="C552" s="2" t="s">
        <v>3600</v>
      </c>
      <c r="D552" t="s">
        <v>6149</v>
      </c>
      <c r="E552" s="2">
        <v>6</v>
      </c>
      <c r="F552" s="2" t="str">
        <f>_xlfn.XLOOKUP(C552,customers!$A$1:$A$1001,customers!$B$1:$B$1001,"",0)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6">
        <f>INDEX(products!$A$1:$G$49,MATCH(orders!$D552,products!$A$1:$A$49,0),MATCH(orders!K$1,products!$A$1:$G$1,0))</f>
        <v>0.2</v>
      </c>
      <c r="L552" s="4">
        <f>INDEX(products!$A$1:$G$49,MATCH(orders!$D552,products!$A$1:$A$49,0),MATCH(orders!L$1,products!$A$1:$G$1,0))</f>
        <v>3.8849999999999998</v>
      </c>
      <c r="M552" s="4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3">
      <c r="A553" s="2" t="s">
        <v>3605</v>
      </c>
      <c r="B553" s="7">
        <v>44694</v>
      </c>
      <c r="C553" s="2" t="s">
        <v>3606</v>
      </c>
      <c r="D553" t="s">
        <v>6152</v>
      </c>
      <c r="E553" s="2">
        <v>2</v>
      </c>
      <c r="F553" s="2" t="str">
        <f>_xlfn.XLOOKUP(C553,customers!$A$1:$A$1001,customers!$B$1:$B$1001,"",0)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6">
        <f>INDEX(products!$A$1:$G$49,MATCH(orders!$D553,products!$A$1:$A$49,0),MATCH(orders!K$1,products!$A$1:$G$1,0))</f>
        <v>0.2</v>
      </c>
      <c r="L553" s="4">
        <f>INDEX(products!$A$1:$G$49,MATCH(orders!$D553,products!$A$1:$A$49,0),MATCH(orders!L$1,products!$A$1:$G$1,0))</f>
        <v>3.645</v>
      </c>
      <c r="M553" s="4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hidden="1" x14ac:dyDescent="0.3">
      <c r="A554" s="2" t="s">
        <v>3611</v>
      </c>
      <c r="B554" s="7">
        <v>43761</v>
      </c>
      <c r="C554" s="2" t="s">
        <v>3612</v>
      </c>
      <c r="D554" t="s">
        <v>6183</v>
      </c>
      <c r="E554" s="2">
        <v>4</v>
      </c>
      <c r="F554" s="2" t="str">
        <f>_xlfn.XLOOKUP(C554,customers!$A$1:$A$1001,customers!$B$1:$B$1001,"",0)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6">
        <f>INDEX(products!$A$1:$G$49,MATCH(orders!$D554,products!$A$1:$A$49,0),MATCH(orders!K$1,products!$A$1:$G$1,0))</f>
        <v>0.2</v>
      </c>
      <c r="L554" s="4">
        <f>INDEX(products!$A$1:$G$49,MATCH(orders!$D554,products!$A$1:$A$49,0),MATCH(orders!L$1,products!$A$1:$G$1,0))</f>
        <v>4.4550000000000001</v>
      </c>
      <c r="M554" s="4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hidden="1" x14ac:dyDescent="0.3">
      <c r="A555" s="2" t="s">
        <v>3617</v>
      </c>
      <c r="B555" s="7">
        <v>44085</v>
      </c>
      <c r="C555" s="2" t="s">
        <v>3618</v>
      </c>
      <c r="D555" t="s">
        <v>6140</v>
      </c>
      <c r="E555" s="2">
        <v>5</v>
      </c>
      <c r="F555" s="2" t="str">
        <f>_xlfn.XLOOKUP(C555,customers!$A$1:$A$1001,customers!$B$1:$B$1001,"",0)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6">
        <f>INDEX(products!$A$1:$G$49,MATCH(orders!$D555,products!$A$1:$A$49,0),MATCH(orders!K$1,products!$A$1:$G$1,0))</f>
        <v>1</v>
      </c>
      <c r="L555" s="4">
        <f>INDEX(products!$A$1:$G$49,MATCH(orders!$D555,products!$A$1:$A$49,0),MATCH(orders!L$1,products!$A$1:$G$1,0))</f>
        <v>13.75</v>
      </c>
      <c r="M555" s="4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hidden="1" x14ac:dyDescent="0.3">
      <c r="A556" s="2" t="s">
        <v>3622</v>
      </c>
      <c r="B556" s="7">
        <v>43737</v>
      </c>
      <c r="C556" s="2" t="s">
        <v>3623</v>
      </c>
      <c r="D556" t="s">
        <v>6141</v>
      </c>
      <c r="E556" s="2">
        <v>2</v>
      </c>
      <c r="F556" s="2" t="str">
        <f>_xlfn.XLOOKUP(C556,customers!$A$1:$A$1001,customers!$B$1:$B$1001,"",0)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6">
        <f>INDEX(products!$A$1:$G$49,MATCH(orders!$D556,products!$A$1:$A$49,0),MATCH(orders!K$1,products!$A$1:$G$1,0))</f>
        <v>2.5</v>
      </c>
      <c r="L556" s="4">
        <f>INDEX(products!$A$1:$G$49,MATCH(orders!$D556,products!$A$1:$A$49,0),MATCH(orders!L$1,products!$A$1:$G$1,0))</f>
        <v>27.484999999999996</v>
      </c>
      <c r="M556" s="4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hidden="1" x14ac:dyDescent="0.3">
      <c r="A557" s="2" t="s">
        <v>3627</v>
      </c>
      <c r="B557" s="7">
        <v>44258</v>
      </c>
      <c r="C557" s="2" t="s">
        <v>3628</v>
      </c>
      <c r="D557" t="s">
        <v>6140</v>
      </c>
      <c r="E557" s="2">
        <v>6</v>
      </c>
      <c r="F557" s="2" t="str">
        <f>_xlfn.XLOOKUP(C557,customers!$A$1:$A$1001,customers!$B$1:$B$1001,"",0)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6">
        <f>INDEX(products!$A$1:$G$49,MATCH(orders!$D557,products!$A$1:$A$49,0),MATCH(orders!K$1,products!$A$1:$G$1,0))</f>
        <v>1</v>
      </c>
      <c r="L557" s="4">
        <f>INDEX(products!$A$1:$G$49,MATCH(orders!$D557,products!$A$1:$A$49,0),MATCH(orders!L$1,products!$A$1:$G$1,0))</f>
        <v>13.75</v>
      </c>
      <c r="M557" s="4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hidden="1" x14ac:dyDescent="0.3">
      <c r="A558" s="2" t="s">
        <v>3633</v>
      </c>
      <c r="B558" s="7">
        <v>44523</v>
      </c>
      <c r="C558" s="2" t="s">
        <v>3634</v>
      </c>
      <c r="D558" t="s">
        <v>6158</v>
      </c>
      <c r="E558" s="2">
        <v>2</v>
      </c>
      <c r="F558" s="2" t="str">
        <f>_xlfn.XLOOKUP(C558,customers!$A$1:$A$1001,customers!$B$1:$B$1001,"",0)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6">
        <f>INDEX(products!$A$1:$G$49,MATCH(orders!$D558,products!$A$1:$A$49,0),MATCH(orders!K$1,products!$A$1:$G$1,0))</f>
        <v>0.2</v>
      </c>
      <c r="L558" s="4">
        <f>INDEX(products!$A$1:$G$49,MATCH(orders!$D558,products!$A$1:$A$49,0),MATCH(orders!L$1,products!$A$1:$G$1,0))</f>
        <v>4.3650000000000002</v>
      </c>
      <c r="M558" s="4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hidden="1" x14ac:dyDescent="0.3">
      <c r="A559" s="2" t="s">
        <v>3638</v>
      </c>
      <c r="B559" s="7">
        <v>44506</v>
      </c>
      <c r="C559" s="2" t="s">
        <v>3368</v>
      </c>
      <c r="D559" t="s">
        <v>6170</v>
      </c>
      <c r="E559" s="2">
        <v>4</v>
      </c>
      <c r="F559" s="2" t="str">
        <f>_xlfn.XLOOKUP(C559,customers!$A$1:$A$1001,customers!$B$1:$B$1001,"",0)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6">
        <f>INDEX(products!$A$1:$G$49,MATCH(orders!$D559,products!$A$1:$A$49,0),MATCH(orders!K$1,products!$A$1:$G$1,0))</f>
        <v>1</v>
      </c>
      <c r="L559" s="4">
        <f>INDEX(products!$A$1:$G$49,MATCH(orders!$D559,products!$A$1:$A$49,0),MATCH(orders!L$1,products!$A$1:$G$1,0))</f>
        <v>14.85</v>
      </c>
      <c r="M559" s="4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hidden="1" x14ac:dyDescent="0.3">
      <c r="A560" s="2" t="s">
        <v>3643</v>
      </c>
      <c r="B560" s="7">
        <v>44225</v>
      </c>
      <c r="C560" s="2" t="s">
        <v>3644</v>
      </c>
      <c r="D560" t="s">
        <v>6149</v>
      </c>
      <c r="E560" s="2">
        <v>4</v>
      </c>
      <c r="F560" s="2" t="str">
        <f>_xlfn.XLOOKUP(C560,customers!$A$1:$A$1001,customers!$B$1:$B$1001,"",0)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6">
        <f>INDEX(products!$A$1:$G$49,MATCH(orders!$D560,products!$A$1:$A$49,0),MATCH(orders!K$1,products!$A$1:$G$1,0))</f>
        <v>0.2</v>
      </c>
      <c r="L560" s="4">
        <f>INDEX(products!$A$1:$G$49,MATCH(orders!$D560,products!$A$1:$A$49,0),MATCH(orders!L$1,products!$A$1:$G$1,0))</f>
        <v>3.8849999999999998</v>
      </c>
      <c r="M560" s="4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3">
      <c r="A561" s="2" t="s">
        <v>3648</v>
      </c>
      <c r="B561" s="7">
        <v>44667</v>
      </c>
      <c r="C561" s="2" t="s">
        <v>3649</v>
      </c>
      <c r="D561" t="s">
        <v>6139</v>
      </c>
      <c r="E561" s="2">
        <v>3</v>
      </c>
      <c r="F561" s="2" t="str">
        <f>_xlfn.XLOOKUP(C561,customers!$A$1:$A$1001,customers!$B$1:$B$1001,"",0)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6">
        <f>INDEX(products!$A$1:$G$49,MATCH(orders!$D561,products!$A$1:$A$49,0),MATCH(orders!K$1,products!$A$1:$G$1,0))</f>
        <v>1</v>
      </c>
      <c r="L561" s="4">
        <f>INDEX(products!$A$1:$G$49,MATCH(orders!$D561,products!$A$1:$A$49,0),MATCH(orders!L$1,products!$A$1:$G$1,0))</f>
        <v>12.95</v>
      </c>
      <c r="M561" s="4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hidden="1" x14ac:dyDescent="0.3">
      <c r="A562" s="2" t="s">
        <v>3654</v>
      </c>
      <c r="B562" s="7">
        <v>44401</v>
      </c>
      <c r="C562" s="2" t="s">
        <v>3655</v>
      </c>
      <c r="D562" t="s">
        <v>6165</v>
      </c>
      <c r="E562" s="2">
        <v>6</v>
      </c>
      <c r="F562" s="2" t="str">
        <f>_xlfn.XLOOKUP(C562,customers!$A$1:$A$1001,customers!$B$1:$B$1001,"",0)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6">
        <f>INDEX(products!$A$1:$G$49,MATCH(orders!$D562,products!$A$1:$A$49,0),MATCH(orders!K$1,products!$A$1:$G$1,0))</f>
        <v>2.5</v>
      </c>
      <c r="L562" s="4">
        <f>INDEX(products!$A$1:$G$49,MATCH(orders!$D562,products!$A$1:$A$49,0),MATCH(orders!L$1,products!$A$1:$G$1,0))</f>
        <v>31.624999999999996</v>
      </c>
      <c r="M562" s="4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hidden="1" x14ac:dyDescent="0.3">
      <c r="A563" s="2" t="s">
        <v>3659</v>
      </c>
      <c r="B563" s="7">
        <v>43688</v>
      </c>
      <c r="C563" s="2" t="s">
        <v>3660</v>
      </c>
      <c r="D563" t="s">
        <v>6153</v>
      </c>
      <c r="E563" s="2">
        <v>6</v>
      </c>
      <c r="F563" s="2" t="str">
        <f>_xlfn.XLOOKUP(C563,customers!$A$1:$A$1001,customers!$B$1:$B$1001,"",0)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6">
        <f>INDEX(products!$A$1:$G$49,MATCH(orders!$D563,products!$A$1:$A$49,0),MATCH(orders!K$1,products!$A$1:$G$1,0))</f>
        <v>0.2</v>
      </c>
      <c r="L563" s="4">
        <f>INDEX(products!$A$1:$G$49,MATCH(orders!$D563,products!$A$1:$A$49,0),MATCH(orders!L$1,products!$A$1:$G$1,0))</f>
        <v>2.9849999999999999</v>
      </c>
      <c r="M563" s="4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hidden="1" x14ac:dyDescent="0.3">
      <c r="A564" s="2" t="s">
        <v>3665</v>
      </c>
      <c r="B564" s="7">
        <v>43669</v>
      </c>
      <c r="C564" s="2" t="s">
        <v>3666</v>
      </c>
      <c r="D564" t="s">
        <v>6144</v>
      </c>
      <c r="E564" s="2">
        <v>6</v>
      </c>
      <c r="F564" s="2" t="str">
        <f>_xlfn.XLOOKUP(C564,customers!$A$1:$A$1001,customers!$B$1:$B$1001,"",0)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6">
        <f>INDEX(products!$A$1:$G$49,MATCH(orders!$D564,products!$A$1:$A$49,0),MATCH(orders!K$1,products!$A$1:$G$1,0))</f>
        <v>0.2</v>
      </c>
      <c r="L564" s="4">
        <f>INDEX(products!$A$1:$G$49,MATCH(orders!$D564,products!$A$1:$A$49,0),MATCH(orders!L$1,products!$A$1:$G$1,0))</f>
        <v>4.7549999999999999</v>
      </c>
      <c r="M564" s="4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hidden="1" x14ac:dyDescent="0.3">
      <c r="A565" s="2" t="s">
        <v>3671</v>
      </c>
      <c r="B565" s="7">
        <v>43991</v>
      </c>
      <c r="C565" s="2" t="s">
        <v>3752</v>
      </c>
      <c r="D565" t="s">
        <v>6140</v>
      </c>
      <c r="E565" s="2">
        <v>6</v>
      </c>
      <c r="F565" s="2" t="str">
        <f>_xlfn.XLOOKUP(C565,customers!$A$1:$A$1001,customers!$B$1:$B$1001,"",0)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6">
        <f>INDEX(products!$A$1:$G$49,MATCH(orders!$D565,products!$A$1:$A$49,0),MATCH(orders!K$1,products!$A$1:$G$1,0))</f>
        <v>1</v>
      </c>
      <c r="L565" s="4">
        <f>INDEX(products!$A$1:$G$49,MATCH(orders!$D565,products!$A$1:$A$49,0),MATCH(orders!L$1,products!$A$1:$G$1,0))</f>
        <v>13.75</v>
      </c>
      <c r="M565" s="4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hidden="1" x14ac:dyDescent="0.3">
      <c r="A566" s="2" t="s">
        <v>3677</v>
      </c>
      <c r="B566" s="7">
        <v>43883</v>
      </c>
      <c r="C566" s="2" t="s">
        <v>3678</v>
      </c>
      <c r="D566" t="s">
        <v>6172</v>
      </c>
      <c r="E566" s="2">
        <v>2</v>
      </c>
      <c r="F566" s="2" t="str">
        <f>_xlfn.XLOOKUP(C566,customers!$A$1:$A$1001,customers!$B$1:$B$1001,"",0)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6">
        <f>INDEX(products!$A$1:$G$49,MATCH(orders!$D566,products!$A$1:$A$49,0),MATCH(orders!K$1,products!$A$1:$G$1,0))</f>
        <v>0.5</v>
      </c>
      <c r="L566" s="4">
        <f>INDEX(products!$A$1:$G$49,MATCH(orders!$D566,products!$A$1:$A$49,0),MATCH(orders!L$1,products!$A$1:$G$1,0))</f>
        <v>7.169999999999999</v>
      </c>
      <c r="M566" s="4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hidden="1" x14ac:dyDescent="0.3">
      <c r="A567" s="2" t="s">
        <v>3683</v>
      </c>
      <c r="B567" s="7">
        <v>44031</v>
      </c>
      <c r="C567" s="2" t="s">
        <v>3684</v>
      </c>
      <c r="D567" t="s">
        <v>6148</v>
      </c>
      <c r="E567" s="2">
        <v>4</v>
      </c>
      <c r="F567" s="2" t="str">
        <f>_xlfn.XLOOKUP(C567,customers!$A$1:$A$1001,customers!$B$1:$B$1001,"",0)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6">
        <f>INDEX(products!$A$1:$G$49,MATCH(orders!$D567,products!$A$1:$A$49,0),MATCH(orders!K$1,products!$A$1:$G$1,0))</f>
        <v>2.5</v>
      </c>
      <c r="L567" s="4">
        <f>INDEX(products!$A$1:$G$49,MATCH(orders!$D567,products!$A$1:$A$49,0),MATCH(orders!L$1,products!$A$1:$G$1,0))</f>
        <v>20.584999999999997</v>
      </c>
      <c r="M567" s="4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hidden="1" x14ac:dyDescent="0.3">
      <c r="A568" s="2" t="s">
        <v>3689</v>
      </c>
      <c r="B568" s="7">
        <v>44459</v>
      </c>
      <c r="C568" s="2" t="s">
        <v>3690</v>
      </c>
      <c r="D568" t="s">
        <v>6151</v>
      </c>
      <c r="E568" s="2">
        <v>6</v>
      </c>
      <c r="F568" s="2" t="str">
        <f>_xlfn.XLOOKUP(C568,customers!$A$1:$A$1001,customers!$B$1:$B$1001,"",0)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6">
        <f>INDEX(products!$A$1:$G$49,MATCH(orders!$D568,products!$A$1:$A$49,0),MATCH(orders!K$1,products!$A$1:$G$1,0))</f>
        <v>0.2</v>
      </c>
      <c r="L568" s="4">
        <f>INDEX(products!$A$1:$G$49,MATCH(orders!$D568,products!$A$1:$A$49,0),MATCH(orders!L$1,products!$A$1:$G$1,0))</f>
        <v>3.375</v>
      </c>
      <c r="M568" s="4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hidden="1" x14ac:dyDescent="0.3">
      <c r="A569" s="2" t="s">
        <v>3695</v>
      </c>
      <c r="B569" s="7">
        <v>44318</v>
      </c>
      <c r="C569" s="2" t="s">
        <v>3696</v>
      </c>
      <c r="D569" t="s">
        <v>6141</v>
      </c>
      <c r="E569" s="2">
        <v>6</v>
      </c>
      <c r="F569" s="2" t="str">
        <f>_xlfn.XLOOKUP(C569,customers!$A$1:$A$1001,customers!$B$1:$B$1001,"",0)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6">
        <f>INDEX(products!$A$1:$G$49,MATCH(orders!$D569,products!$A$1:$A$49,0),MATCH(orders!K$1,products!$A$1:$G$1,0))</f>
        <v>2.5</v>
      </c>
      <c r="L569" s="4">
        <f>INDEX(products!$A$1:$G$49,MATCH(orders!$D569,products!$A$1:$A$49,0),MATCH(orders!L$1,products!$A$1:$G$1,0))</f>
        <v>27.484999999999996</v>
      </c>
      <c r="M569" s="4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hidden="1" x14ac:dyDescent="0.3">
      <c r="A570" s="2" t="s">
        <v>3700</v>
      </c>
      <c r="B570" s="7">
        <v>44526</v>
      </c>
      <c r="C570" s="2" t="s">
        <v>3701</v>
      </c>
      <c r="D570" t="s">
        <v>6144</v>
      </c>
      <c r="E570" s="2">
        <v>4</v>
      </c>
      <c r="F570" s="2" t="str">
        <f>_xlfn.XLOOKUP(C570,customers!$A$1:$A$1001,customers!$B$1:$B$1001,"",0)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6">
        <f>INDEX(products!$A$1:$G$49,MATCH(orders!$D570,products!$A$1:$A$49,0),MATCH(orders!K$1,products!$A$1:$G$1,0))</f>
        <v>0.2</v>
      </c>
      <c r="L570" s="4">
        <f>INDEX(products!$A$1:$G$49,MATCH(orders!$D570,products!$A$1:$A$49,0),MATCH(orders!L$1,products!$A$1:$G$1,0))</f>
        <v>4.7549999999999999</v>
      </c>
      <c r="M570" s="4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hidden="1" x14ac:dyDescent="0.3">
      <c r="A571" s="2" t="s">
        <v>3706</v>
      </c>
      <c r="B571" s="7">
        <v>43879</v>
      </c>
      <c r="C571" s="2" t="s">
        <v>3752</v>
      </c>
      <c r="D571" t="s">
        <v>6167</v>
      </c>
      <c r="E571" s="2">
        <v>6</v>
      </c>
      <c r="F571" s="2" t="str">
        <f>_xlfn.XLOOKUP(C571,customers!$A$1:$A$1001,customers!$B$1:$B$1001,"",0)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6">
        <f>INDEX(products!$A$1:$G$49,MATCH(orders!$D571,products!$A$1:$A$49,0),MATCH(orders!K$1,products!$A$1:$G$1,0))</f>
        <v>2.5</v>
      </c>
      <c r="L571" s="4">
        <f>INDEX(products!$A$1:$G$49,MATCH(orders!$D571,products!$A$1:$A$49,0),MATCH(orders!L$1,products!$A$1:$G$1,0))</f>
        <v>22.884999999999998</v>
      </c>
      <c r="M571" s="4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hidden="1" x14ac:dyDescent="0.3">
      <c r="A572" s="2" t="s">
        <v>3712</v>
      </c>
      <c r="B572" s="7">
        <v>43928</v>
      </c>
      <c r="C572" s="2" t="s">
        <v>3713</v>
      </c>
      <c r="D572" t="s">
        <v>6156</v>
      </c>
      <c r="E572" s="2">
        <v>4</v>
      </c>
      <c r="F572" s="2" t="str">
        <f>_xlfn.XLOOKUP(C572,customers!$A$1:$A$1001,customers!$B$1:$B$1001,"",0)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6">
        <f>INDEX(products!$A$1:$G$49,MATCH(orders!$D572,products!$A$1:$A$49,0),MATCH(orders!K$1,products!$A$1:$G$1,0))</f>
        <v>0.5</v>
      </c>
      <c r="L572" s="4">
        <f>INDEX(products!$A$1:$G$49,MATCH(orders!$D572,products!$A$1:$A$49,0),MATCH(orders!L$1,products!$A$1:$G$1,0))</f>
        <v>6.75</v>
      </c>
      <c r="M572" s="4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3">
      <c r="A573" s="2" t="s">
        <v>3718</v>
      </c>
      <c r="B573" s="7">
        <v>44592</v>
      </c>
      <c r="C573" s="2" t="s">
        <v>3719</v>
      </c>
      <c r="D573" t="s">
        <v>6175</v>
      </c>
      <c r="E573" s="2">
        <v>4</v>
      </c>
      <c r="F573" s="2" t="str">
        <f>_xlfn.XLOOKUP(C573,customers!$A$1:$A$1001,customers!$B$1:$B$1001,"",0)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6">
        <f>INDEX(products!$A$1:$G$49,MATCH(orders!$D573,products!$A$1:$A$49,0),MATCH(orders!K$1,products!$A$1:$G$1,0))</f>
        <v>0.5</v>
      </c>
      <c r="L573" s="4">
        <f>INDEX(products!$A$1:$G$49,MATCH(orders!$D573,products!$A$1:$A$49,0),MATCH(orders!L$1,products!$A$1:$G$1,0))</f>
        <v>8.91</v>
      </c>
      <c r="M573" s="4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hidden="1" x14ac:dyDescent="0.3">
      <c r="A574" s="2" t="s">
        <v>3724</v>
      </c>
      <c r="B574" s="7">
        <v>43515</v>
      </c>
      <c r="C574" s="2" t="s">
        <v>3725</v>
      </c>
      <c r="D574" t="s">
        <v>6153</v>
      </c>
      <c r="E574" s="2">
        <v>2</v>
      </c>
      <c r="F574" s="2" t="str">
        <f>_xlfn.XLOOKUP(C574,customers!$A$1:$A$1001,customers!$B$1:$B$1001,"",0)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6">
        <f>INDEX(products!$A$1:$G$49,MATCH(orders!$D574,products!$A$1:$A$49,0),MATCH(orders!K$1,products!$A$1:$G$1,0))</f>
        <v>0.2</v>
      </c>
      <c r="L574" s="4">
        <f>INDEX(products!$A$1:$G$49,MATCH(orders!$D574,products!$A$1:$A$49,0),MATCH(orders!L$1,products!$A$1:$G$1,0))</f>
        <v>2.9849999999999999</v>
      </c>
      <c r="M574" s="4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hidden="1" x14ac:dyDescent="0.3">
      <c r="A575" s="2" t="s">
        <v>3728</v>
      </c>
      <c r="B575" s="7">
        <v>43781</v>
      </c>
      <c r="C575" s="2" t="s">
        <v>3729</v>
      </c>
      <c r="D575" t="s">
        <v>6154</v>
      </c>
      <c r="E575" s="2">
        <v>6</v>
      </c>
      <c r="F575" s="2" t="str">
        <f>_xlfn.XLOOKUP(C575,customers!$A$1:$A$1001,customers!$B$1:$B$1001,"",0)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6">
        <f>INDEX(products!$A$1:$G$49,MATCH(orders!$D575,products!$A$1:$A$49,0),MATCH(orders!K$1,products!$A$1:$G$1,0))</f>
        <v>1</v>
      </c>
      <c r="L575" s="4">
        <f>INDEX(products!$A$1:$G$49,MATCH(orders!$D575,products!$A$1:$A$49,0),MATCH(orders!L$1,products!$A$1:$G$1,0))</f>
        <v>11.25</v>
      </c>
      <c r="M575" s="4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3">
      <c r="A576" s="2" t="s">
        <v>3734</v>
      </c>
      <c r="B576" s="7">
        <v>44697</v>
      </c>
      <c r="C576" s="2" t="s">
        <v>3735</v>
      </c>
      <c r="D576" t="s">
        <v>6177</v>
      </c>
      <c r="E576" s="2">
        <v>6</v>
      </c>
      <c r="F576" s="2" t="str">
        <f>_xlfn.XLOOKUP(C576,customers!$A$1:$A$1001,customers!$B$1:$B$1001,"",0)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6">
        <f>INDEX(products!$A$1:$G$49,MATCH(orders!$D576,products!$A$1:$A$49,0),MATCH(orders!K$1,products!$A$1:$G$1,0))</f>
        <v>0.2</v>
      </c>
      <c r="L576" s="4">
        <f>INDEX(products!$A$1:$G$49,MATCH(orders!$D576,products!$A$1:$A$49,0),MATCH(orders!L$1,products!$A$1:$G$1,0))</f>
        <v>3.5849999999999995</v>
      </c>
      <c r="M576" s="4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hidden="1" x14ac:dyDescent="0.3">
      <c r="A577" s="2" t="s">
        <v>3739</v>
      </c>
      <c r="B577" s="7">
        <v>44239</v>
      </c>
      <c r="C577" s="2" t="s">
        <v>3740</v>
      </c>
      <c r="D577" t="s">
        <v>6180</v>
      </c>
      <c r="E577" s="2">
        <v>2</v>
      </c>
      <c r="F577" s="2" t="str">
        <f>_xlfn.XLOOKUP(C577,customers!$A$1:$A$1001,customers!$B$1:$B$1001,"",0)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6">
        <f>INDEX(products!$A$1:$G$49,MATCH(orders!$D577,products!$A$1:$A$49,0),MATCH(orders!K$1,products!$A$1:$G$1,0))</f>
        <v>2.5</v>
      </c>
      <c r="L577" s="4">
        <f>INDEX(products!$A$1:$G$49,MATCH(orders!$D577,products!$A$1:$A$49,0),MATCH(orders!L$1,products!$A$1:$G$1,0))</f>
        <v>33.464999999999996</v>
      </c>
      <c r="M577" s="4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hidden="1" x14ac:dyDescent="0.3">
      <c r="A578" s="2" t="s">
        <v>3745</v>
      </c>
      <c r="B578" s="7">
        <v>44290</v>
      </c>
      <c r="C578" s="2" t="s">
        <v>3746</v>
      </c>
      <c r="D578" t="s">
        <v>6153</v>
      </c>
      <c r="E578" s="2">
        <v>6</v>
      </c>
      <c r="F578" s="2" t="str">
        <f>_xlfn.XLOOKUP(C578,customers!$A$1:$A$1001,customers!$B$1:$B$1001,"",0)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6">
        <f>INDEX(products!$A$1:$G$49,MATCH(orders!$D578,products!$A$1:$A$49,0),MATCH(orders!K$1,products!$A$1:$G$1,0))</f>
        <v>0.2</v>
      </c>
      <c r="L578" s="4">
        <f>INDEX(products!$A$1:$G$49,MATCH(orders!$D578,products!$A$1:$A$49,0),MATCH(orders!L$1,products!$A$1:$G$1,0))</f>
        <v>2.9849999999999999</v>
      </c>
      <c r="M578" s="4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hidden="1" x14ac:dyDescent="0.3">
      <c r="A579" s="2" t="s">
        <v>3751</v>
      </c>
      <c r="B579" s="7">
        <v>44410</v>
      </c>
      <c r="C579" s="2" t="s">
        <v>3752</v>
      </c>
      <c r="D579" t="s">
        <v>6161</v>
      </c>
      <c r="E579" s="2">
        <v>4</v>
      </c>
      <c r="F579" s="2" t="str">
        <f>_xlfn.XLOOKUP(C579,customers!$A$1:$A$1001,customers!$B$1:$B$1001,"",0)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6">
        <f>INDEX(products!$A$1:$G$49,MATCH(orders!$D579,products!$A$1:$A$49,0),MATCH(orders!K$1,products!$A$1:$G$1,0))</f>
        <v>1</v>
      </c>
      <c r="L579" s="4">
        <f>INDEX(products!$A$1:$G$49,MATCH(orders!$D579,products!$A$1:$A$49,0),MATCH(orders!L$1,products!$A$1:$G$1,0))</f>
        <v>14.55</v>
      </c>
      <c r="M579" s="4">
        <f t="shared" ref="M579:M642" si="27">E579*L579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3">
      <c r="A580" s="2" t="s">
        <v>3756</v>
      </c>
      <c r="B580" s="7">
        <v>44720</v>
      </c>
      <c r="C580" s="2" t="s">
        <v>3757</v>
      </c>
      <c r="D580" t="s">
        <v>6183</v>
      </c>
      <c r="E580" s="2">
        <v>3</v>
      </c>
      <c r="F580" s="2" t="str">
        <f>_xlfn.XLOOKUP(C580,customers!$A$1:$A$1001,customers!$B$1:$B$1001,"",0)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6">
        <f>INDEX(products!$A$1:$G$49,MATCH(orders!$D580,products!$A$1:$A$49,0),MATCH(orders!K$1,products!$A$1:$G$1,0))</f>
        <v>0.2</v>
      </c>
      <c r="L580" s="4">
        <f>INDEX(products!$A$1:$G$49,MATCH(orders!$D580,products!$A$1:$A$49,0),MATCH(orders!L$1,products!$A$1:$G$1,0))</f>
        <v>4.4550000000000001</v>
      </c>
      <c r="M580" s="4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3">
      <c r="A581" s="2" t="s">
        <v>3756</v>
      </c>
      <c r="B581" s="7">
        <v>44720</v>
      </c>
      <c r="C581" s="2" t="s">
        <v>3757</v>
      </c>
      <c r="D581" t="s">
        <v>6156</v>
      </c>
      <c r="E581" s="2">
        <v>5</v>
      </c>
      <c r="F581" s="2" t="str">
        <f>_xlfn.XLOOKUP(C581,customers!$A$1:$A$1001,customers!$B$1:$B$1001,"",0)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6">
        <f>INDEX(products!$A$1:$G$49,MATCH(orders!$D581,products!$A$1:$A$49,0),MATCH(orders!K$1,products!$A$1:$G$1,0))</f>
        <v>0.5</v>
      </c>
      <c r="L581" s="4">
        <f>INDEX(products!$A$1:$G$49,MATCH(orders!$D581,products!$A$1:$A$49,0),MATCH(orders!L$1,products!$A$1:$G$1,0))</f>
        <v>6.75</v>
      </c>
      <c r="M581" s="4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hidden="1" x14ac:dyDescent="0.3">
      <c r="A582" s="2" t="s">
        <v>3767</v>
      </c>
      <c r="B582" s="7">
        <v>43965</v>
      </c>
      <c r="C582" s="2" t="s">
        <v>3768</v>
      </c>
      <c r="D582" t="s">
        <v>6170</v>
      </c>
      <c r="E582" s="2">
        <v>3</v>
      </c>
      <c r="F582" s="2" t="str">
        <f>_xlfn.XLOOKUP(C582,customers!$A$1:$A$1001,customers!$B$1:$B$1001,"",0)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6">
        <f>INDEX(products!$A$1:$G$49,MATCH(orders!$D582,products!$A$1:$A$49,0),MATCH(orders!K$1,products!$A$1:$G$1,0))</f>
        <v>1</v>
      </c>
      <c r="L582" s="4">
        <f>INDEX(products!$A$1:$G$49,MATCH(orders!$D582,products!$A$1:$A$49,0),MATCH(orders!L$1,products!$A$1:$G$1,0))</f>
        <v>14.85</v>
      </c>
      <c r="M582" s="4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hidden="1" x14ac:dyDescent="0.3">
      <c r="A583" s="2" t="s">
        <v>3773</v>
      </c>
      <c r="B583" s="7">
        <v>44190</v>
      </c>
      <c r="C583" s="2" t="s">
        <v>3774</v>
      </c>
      <c r="D583" t="s">
        <v>6175</v>
      </c>
      <c r="E583" s="2">
        <v>5</v>
      </c>
      <c r="F583" s="2" t="str">
        <f>_xlfn.XLOOKUP(C583,customers!$A$1:$A$1001,customers!$B$1:$B$1001,"",0)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6">
        <f>INDEX(products!$A$1:$G$49,MATCH(orders!$D583,products!$A$1:$A$49,0),MATCH(orders!K$1,products!$A$1:$G$1,0))</f>
        <v>0.5</v>
      </c>
      <c r="L583" s="4">
        <f>INDEX(products!$A$1:$G$49,MATCH(orders!$D583,products!$A$1:$A$49,0),MATCH(orders!L$1,products!$A$1:$G$1,0))</f>
        <v>8.91</v>
      </c>
      <c r="M583" s="4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hidden="1" x14ac:dyDescent="0.3">
      <c r="A584" s="2" t="s">
        <v>3778</v>
      </c>
      <c r="B584" s="7">
        <v>44382</v>
      </c>
      <c r="C584" s="2" t="s">
        <v>3779</v>
      </c>
      <c r="D584" t="s">
        <v>6182</v>
      </c>
      <c r="E584" s="2">
        <v>5</v>
      </c>
      <c r="F584" s="2" t="str">
        <f>_xlfn.XLOOKUP(C584,customers!$A$1:$A$1001,customers!$B$1:$B$1001,"",0)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6">
        <f>INDEX(products!$A$1:$G$49,MATCH(orders!$D584,products!$A$1:$A$49,0),MATCH(orders!K$1,products!$A$1:$G$1,0))</f>
        <v>1</v>
      </c>
      <c r="L584" s="4">
        <f>INDEX(products!$A$1:$G$49,MATCH(orders!$D584,products!$A$1:$A$49,0),MATCH(orders!L$1,products!$A$1:$G$1,0))</f>
        <v>12.15</v>
      </c>
      <c r="M584" s="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hidden="1" x14ac:dyDescent="0.3">
      <c r="A585" s="2" t="s">
        <v>3784</v>
      </c>
      <c r="B585" s="7">
        <v>43538</v>
      </c>
      <c r="C585" s="2" t="s">
        <v>3785</v>
      </c>
      <c r="D585" t="s">
        <v>6177</v>
      </c>
      <c r="E585" s="2">
        <v>1</v>
      </c>
      <c r="F585" s="2" t="str">
        <f>_xlfn.XLOOKUP(C585,customers!$A$1:$A$1001,customers!$B$1:$B$1001,"",0)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6">
        <f>INDEX(products!$A$1:$G$49,MATCH(orders!$D585,products!$A$1:$A$49,0),MATCH(orders!K$1,products!$A$1:$G$1,0))</f>
        <v>0.2</v>
      </c>
      <c r="L585" s="4">
        <f>INDEX(products!$A$1:$G$49,MATCH(orders!$D585,products!$A$1:$A$49,0),MATCH(orders!L$1,products!$A$1:$G$1,0))</f>
        <v>3.5849999999999995</v>
      </c>
      <c r="M585" s="4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hidden="1" x14ac:dyDescent="0.3">
      <c r="A586" s="2" t="s">
        <v>3790</v>
      </c>
      <c r="B586" s="7">
        <v>44262</v>
      </c>
      <c r="C586" s="2" t="s">
        <v>3791</v>
      </c>
      <c r="D586" t="s">
        <v>6177</v>
      </c>
      <c r="E586" s="2">
        <v>6</v>
      </c>
      <c r="F586" s="2" t="str">
        <f>_xlfn.XLOOKUP(C586,customers!$A$1:$A$1001,customers!$B$1:$B$1001,"",0)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6">
        <f>INDEX(products!$A$1:$G$49,MATCH(orders!$D586,products!$A$1:$A$49,0),MATCH(orders!K$1,products!$A$1:$G$1,0))</f>
        <v>0.2</v>
      </c>
      <c r="L586" s="4">
        <f>INDEX(products!$A$1:$G$49,MATCH(orders!$D586,products!$A$1:$A$49,0),MATCH(orders!L$1,products!$A$1:$G$1,0))</f>
        <v>3.5849999999999995</v>
      </c>
      <c r="M586" s="4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hidden="1" x14ac:dyDescent="0.3">
      <c r="A587" s="2" t="s">
        <v>3796</v>
      </c>
      <c r="B587" s="7">
        <v>44505</v>
      </c>
      <c r="C587" s="2" t="s">
        <v>3840</v>
      </c>
      <c r="D587" t="s">
        <v>6138</v>
      </c>
      <c r="E587" s="2">
        <v>2</v>
      </c>
      <c r="F587" s="2" t="str">
        <f>_xlfn.XLOOKUP(C587,customers!$A$1:$A$1001,customers!$B$1:$B$1001,"",0)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6">
        <f>INDEX(products!$A$1:$G$49,MATCH(orders!$D587,products!$A$1:$A$49,0),MATCH(orders!K$1,products!$A$1:$G$1,0))</f>
        <v>0.5</v>
      </c>
      <c r="L587" s="4">
        <f>INDEX(products!$A$1:$G$49,MATCH(orders!$D587,products!$A$1:$A$49,0),MATCH(orders!L$1,products!$A$1:$G$1,0))</f>
        <v>8.25</v>
      </c>
      <c r="M587" s="4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hidden="1" x14ac:dyDescent="0.3">
      <c r="A588" s="2" t="s">
        <v>3802</v>
      </c>
      <c r="B588" s="7">
        <v>43867</v>
      </c>
      <c r="C588" s="2" t="s">
        <v>3803</v>
      </c>
      <c r="D588" t="s">
        <v>6141</v>
      </c>
      <c r="E588" s="2">
        <v>3</v>
      </c>
      <c r="F588" s="2" t="str">
        <f>_xlfn.XLOOKUP(C588,customers!$A$1:$A$1001,customers!$B$1:$B$1001,"",0)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6">
        <f>INDEX(products!$A$1:$G$49,MATCH(orders!$D588,products!$A$1:$A$49,0),MATCH(orders!K$1,products!$A$1:$G$1,0))</f>
        <v>2.5</v>
      </c>
      <c r="L588" s="4">
        <f>INDEX(products!$A$1:$G$49,MATCH(orders!$D588,products!$A$1:$A$49,0),MATCH(orders!L$1,products!$A$1:$G$1,0))</f>
        <v>27.484999999999996</v>
      </c>
      <c r="M588" s="4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hidden="1" x14ac:dyDescent="0.3">
      <c r="A589" s="2" t="s">
        <v>3807</v>
      </c>
      <c r="B589" s="7">
        <v>44267</v>
      </c>
      <c r="C589" s="2" t="s">
        <v>3808</v>
      </c>
      <c r="D589" t="s">
        <v>6168</v>
      </c>
      <c r="E589" s="2">
        <v>1</v>
      </c>
      <c r="F589" s="2" t="str">
        <f>_xlfn.XLOOKUP(C589,customers!$A$1:$A$1001,customers!$B$1:$B$1001,"",0)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6">
        <f>INDEX(products!$A$1:$G$49,MATCH(orders!$D589,products!$A$1:$A$49,0),MATCH(orders!K$1,products!$A$1:$G$1,0))</f>
        <v>0.5</v>
      </c>
      <c r="L589" s="4">
        <f>INDEX(products!$A$1:$G$49,MATCH(orders!$D589,products!$A$1:$A$49,0),MATCH(orders!L$1,products!$A$1:$G$1,0))</f>
        <v>7.77</v>
      </c>
      <c r="M589" s="4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hidden="1" x14ac:dyDescent="0.3">
      <c r="A590" s="2" t="s">
        <v>3812</v>
      </c>
      <c r="B590" s="7">
        <v>44046</v>
      </c>
      <c r="C590" s="2" t="s">
        <v>3813</v>
      </c>
      <c r="D590" t="s">
        <v>6145</v>
      </c>
      <c r="E590" s="2">
        <v>2</v>
      </c>
      <c r="F590" s="2" t="str">
        <f>_xlfn.XLOOKUP(C590,customers!$A$1:$A$1001,customers!$B$1:$B$1001,"",0)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6">
        <f>INDEX(products!$A$1:$G$49,MATCH(orders!$D590,products!$A$1:$A$49,0),MATCH(orders!K$1,products!$A$1:$G$1,0))</f>
        <v>0.5</v>
      </c>
      <c r="L590" s="4">
        <f>INDEX(products!$A$1:$G$49,MATCH(orders!$D590,products!$A$1:$A$49,0),MATCH(orders!L$1,products!$A$1:$G$1,0))</f>
        <v>5.97</v>
      </c>
      <c r="M590" s="4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hidden="1" x14ac:dyDescent="0.3">
      <c r="A591" s="2" t="s">
        <v>3818</v>
      </c>
      <c r="B591" s="7">
        <v>43671</v>
      </c>
      <c r="C591" s="2" t="s">
        <v>3819</v>
      </c>
      <c r="D591" t="s">
        <v>6147</v>
      </c>
      <c r="E591" s="2">
        <v>6</v>
      </c>
      <c r="F591" s="2" t="str">
        <f>_xlfn.XLOOKUP(C591,customers!$A$1:$A$1001,customers!$B$1:$B$1001,"",0)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6">
        <f>INDEX(products!$A$1:$G$49,MATCH(orders!$D591,products!$A$1:$A$49,0),MATCH(orders!K$1,products!$A$1:$G$1,0))</f>
        <v>2.5</v>
      </c>
      <c r="L591" s="4">
        <f>INDEX(products!$A$1:$G$49,MATCH(orders!$D591,products!$A$1:$A$49,0),MATCH(orders!L$1,products!$A$1:$G$1,0))</f>
        <v>34.154999999999994</v>
      </c>
      <c r="M591" s="4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hidden="1" x14ac:dyDescent="0.3">
      <c r="A592" s="2" t="s">
        <v>3823</v>
      </c>
      <c r="B592" s="7">
        <v>43950</v>
      </c>
      <c r="C592" s="2" t="s">
        <v>3824</v>
      </c>
      <c r="D592" t="s">
        <v>6165</v>
      </c>
      <c r="E592" s="2">
        <v>2</v>
      </c>
      <c r="F592" s="2" t="str">
        <f>_xlfn.XLOOKUP(C592,customers!$A$1:$A$1001,customers!$B$1:$B$1001,"",0)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6">
        <f>INDEX(products!$A$1:$G$49,MATCH(orders!$D592,products!$A$1:$A$49,0),MATCH(orders!K$1,products!$A$1:$G$1,0))</f>
        <v>2.5</v>
      </c>
      <c r="L592" s="4">
        <f>INDEX(products!$A$1:$G$49,MATCH(orders!$D592,products!$A$1:$A$49,0),MATCH(orders!L$1,products!$A$1:$G$1,0))</f>
        <v>31.624999999999996</v>
      </c>
      <c r="M592" s="4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hidden="1" x14ac:dyDescent="0.3">
      <c r="A593" s="2" t="s">
        <v>3829</v>
      </c>
      <c r="B593" s="7">
        <v>43587</v>
      </c>
      <c r="C593" s="2" t="s">
        <v>3830</v>
      </c>
      <c r="D593" t="s">
        <v>6162</v>
      </c>
      <c r="E593" s="2">
        <v>3</v>
      </c>
      <c r="F593" s="2" t="str">
        <f>_xlfn.XLOOKUP(C593,customers!$A$1:$A$1001,customers!$B$1:$B$1001,"",0)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6">
        <f>INDEX(products!$A$1:$G$49,MATCH(orders!$D593,products!$A$1:$A$49,0),MATCH(orders!K$1,products!$A$1:$G$1,0))</f>
        <v>0.2</v>
      </c>
      <c r="L593" s="4">
        <f>INDEX(products!$A$1:$G$49,MATCH(orders!$D593,products!$A$1:$A$49,0),MATCH(orders!L$1,products!$A$1:$G$1,0))</f>
        <v>2.6849999999999996</v>
      </c>
      <c r="M593" s="4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hidden="1" x14ac:dyDescent="0.3">
      <c r="A594" s="2" t="s">
        <v>3834</v>
      </c>
      <c r="B594" s="7">
        <v>44437</v>
      </c>
      <c r="C594" s="2" t="s">
        <v>3835</v>
      </c>
      <c r="D594" t="s">
        <v>6174</v>
      </c>
      <c r="E594" s="2">
        <v>2</v>
      </c>
      <c r="F594" s="2" t="str">
        <f>_xlfn.XLOOKUP(C594,customers!$A$1:$A$1001,customers!$B$1:$B$1001,"",0)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6">
        <f>INDEX(products!$A$1:$G$49,MATCH(orders!$D594,products!$A$1:$A$49,0),MATCH(orders!K$1,products!$A$1:$G$1,0))</f>
        <v>2.5</v>
      </c>
      <c r="L594" s="4">
        <f>INDEX(products!$A$1:$G$49,MATCH(orders!$D594,products!$A$1:$A$49,0),MATCH(orders!L$1,products!$A$1:$G$1,0))</f>
        <v>25.874999999999996</v>
      </c>
      <c r="M594" s="4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hidden="1" x14ac:dyDescent="0.3">
      <c r="A595" s="2" t="s">
        <v>3839</v>
      </c>
      <c r="B595" s="7">
        <v>43903</v>
      </c>
      <c r="C595" s="2" t="s">
        <v>3840</v>
      </c>
      <c r="D595" t="s">
        <v>6184</v>
      </c>
      <c r="E595" s="2">
        <v>1</v>
      </c>
      <c r="F595" s="2" t="str">
        <f>_xlfn.XLOOKUP(C595,customers!$A$1:$A$1001,customers!$B$1:$B$1001,"",0)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6">
        <f>INDEX(products!$A$1:$G$49,MATCH(orders!$D595,products!$A$1:$A$49,0),MATCH(orders!K$1,products!$A$1:$G$1,0))</f>
        <v>2.5</v>
      </c>
      <c r="L595" s="4">
        <f>INDEX(products!$A$1:$G$49,MATCH(orders!$D595,products!$A$1:$A$49,0),MATCH(orders!L$1,products!$A$1:$G$1,0))</f>
        <v>27.945</v>
      </c>
      <c r="M595" s="4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hidden="1" x14ac:dyDescent="0.3">
      <c r="A596" s="2" t="s">
        <v>3844</v>
      </c>
      <c r="B596" s="7">
        <v>43512</v>
      </c>
      <c r="C596" s="2" t="s">
        <v>3845</v>
      </c>
      <c r="D596" t="s">
        <v>6181</v>
      </c>
      <c r="E596" s="2">
        <v>2</v>
      </c>
      <c r="F596" s="2" t="str">
        <f>_xlfn.XLOOKUP(C596,customers!$A$1:$A$1001,customers!$B$1:$B$1001,"",0)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6">
        <f>INDEX(products!$A$1:$G$49,MATCH(orders!$D596,products!$A$1:$A$49,0),MATCH(orders!K$1,products!$A$1:$G$1,0))</f>
        <v>2.5</v>
      </c>
      <c r="L596" s="4">
        <f>INDEX(products!$A$1:$G$49,MATCH(orders!$D596,products!$A$1:$A$49,0),MATCH(orders!L$1,products!$A$1:$G$1,0))</f>
        <v>29.784999999999997</v>
      </c>
      <c r="M596" s="4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hidden="1" x14ac:dyDescent="0.3">
      <c r="A597" s="2" t="s">
        <v>3850</v>
      </c>
      <c r="B597" s="7">
        <v>44527</v>
      </c>
      <c r="C597" s="2" t="s">
        <v>3851</v>
      </c>
      <c r="D597" t="s">
        <v>6170</v>
      </c>
      <c r="E597" s="2">
        <v>1</v>
      </c>
      <c r="F597" s="2" t="str">
        <f>_xlfn.XLOOKUP(C597,customers!$A$1:$A$1001,customers!$B$1:$B$1001,"",0)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6">
        <f>INDEX(products!$A$1:$G$49,MATCH(orders!$D597,products!$A$1:$A$49,0),MATCH(orders!K$1,products!$A$1:$G$1,0))</f>
        <v>1</v>
      </c>
      <c r="L597" s="4">
        <f>INDEX(products!$A$1:$G$49,MATCH(orders!$D597,products!$A$1:$A$49,0),MATCH(orders!L$1,products!$A$1:$G$1,0))</f>
        <v>14.85</v>
      </c>
      <c r="M597" s="4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hidden="1" x14ac:dyDescent="0.3">
      <c r="A598" s="2" t="s">
        <v>3854</v>
      </c>
      <c r="B598" s="7">
        <v>44523</v>
      </c>
      <c r="C598" s="2" t="s">
        <v>3855</v>
      </c>
      <c r="D598" t="s">
        <v>6156</v>
      </c>
      <c r="E598" s="2">
        <v>5</v>
      </c>
      <c r="F598" s="2" t="str">
        <f>_xlfn.XLOOKUP(C598,customers!$A$1:$A$1001,customers!$B$1:$B$1001,"",0)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6">
        <f>INDEX(products!$A$1:$G$49,MATCH(orders!$D598,products!$A$1:$A$49,0),MATCH(orders!K$1,products!$A$1:$G$1,0))</f>
        <v>0.5</v>
      </c>
      <c r="L598" s="4">
        <f>INDEX(products!$A$1:$G$49,MATCH(orders!$D598,products!$A$1:$A$49,0),MATCH(orders!L$1,products!$A$1:$G$1,0))</f>
        <v>6.75</v>
      </c>
      <c r="M598" s="4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hidden="1" x14ac:dyDescent="0.3">
      <c r="A599" s="2" t="s">
        <v>3860</v>
      </c>
      <c r="B599" s="7">
        <v>44532</v>
      </c>
      <c r="C599" s="2" t="s">
        <v>3861</v>
      </c>
      <c r="D599" t="s">
        <v>6163</v>
      </c>
      <c r="E599" s="2">
        <v>4</v>
      </c>
      <c r="F599" s="2" t="str">
        <f>_xlfn.XLOOKUP(C599,customers!$A$1:$A$1001,customers!$B$1:$B$1001,"",0)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6">
        <f>INDEX(products!$A$1:$G$49,MATCH(orders!$D599,products!$A$1:$A$49,0),MATCH(orders!K$1,products!$A$1:$G$1,0))</f>
        <v>2.5</v>
      </c>
      <c r="L599" s="4">
        <f>INDEX(products!$A$1:$G$49,MATCH(orders!$D599,products!$A$1:$A$49,0),MATCH(orders!L$1,products!$A$1:$G$1,0))</f>
        <v>36.454999999999998</v>
      </c>
      <c r="M599" s="4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hidden="1" x14ac:dyDescent="0.3">
      <c r="A600" s="2" t="s">
        <v>3866</v>
      </c>
      <c r="B600" s="7">
        <v>43471</v>
      </c>
      <c r="C600" s="2" t="s">
        <v>3867</v>
      </c>
      <c r="D600" t="s">
        <v>6173</v>
      </c>
      <c r="E600" s="2">
        <v>4</v>
      </c>
      <c r="F600" s="2" t="str">
        <f>_xlfn.XLOOKUP(C600,customers!$A$1:$A$1001,customers!$B$1:$B$1001,"",0)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6">
        <f>INDEX(products!$A$1:$G$49,MATCH(orders!$D600,products!$A$1:$A$49,0),MATCH(orders!K$1,products!$A$1:$G$1,0))</f>
        <v>0.2</v>
      </c>
      <c r="L600" s="4">
        <f>INDEX(products!$A$1:$G$49,MATCH(orders!$D600,products!$A$1:$A$49,0),MATCH(orders!L$1,products!$A$1:$G$1,0))</f>
        <v>2.9849999999999999</v>
      </c>
      <c r="M600" s="4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hidden="1" x14ac:dyDescent="0.3">
      <c r="A601" s="2" t="s">
        <v>3872</v>
      </c>
      <c r="B601" s="7">
        <v>44321</v>
      </c>
      <c r="C601" s="2" t="s">
        <v>3873</v>
      </c>
      <c r="D601" t="s">
        <v>6153</v>
      </c>
      <c r="E601" s="2">
        <v>4</v>
      </c>
      <c r="F601" s="2" t="str">
        <f>_xlfn.XLOOKUP(C601,customers!$A$1:$A$1001,customers!$B$1:$B$1001,"",0)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6">
        <f>INDEX(products!$A$1:$G$49,MATCH(orders!$D601,products!$A$1:$A$49,0),MATCH(orders!K$1,products!$A$1:$G$1,0))</f>
        <v>0.2</v>
      </c>
      <c r="L601" s="4">
        <f>INDEX(products!$A$1:$G$49,MATCH(orders!$D601,products!$A$1:$A$49,0),MATCH(orders!L$1,products!$A$1:$G$1,0))</f>
        <v>2.9849999999999999</v>
      </c>
      <c r="M601" s="4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hidden="1" x14ac:dyDescent="0.3">
      <c r="A602" s="2" t="s">
        <v>3877</v>
      </c>
      <c r="B602" s="7">
        <v>44492</v>
      </c>
      <c r="C602" s="2" t="s">
        <v>3878</v>
      </c>
      <c r="D602" t="s">
        <v>6168</v>
      </c>
      <c r="E602" s="2">
        <v>1</v>
      </c>
      <c r="F602" s="2" t="str">
        <f>_xlfn.XLOOKUP(C602,customers!$A$1:$A$1001,customers!$B$1:$B$1001,"",0)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6">
        <f>INDEX(products!$A$1:$G$49,MATCH(orders!$D602,products!$A$1:$A$49,0),MATCH(orders!K$1,products!$A$1:$G$1,0))</f>
        <v>0.5</v>
      </c>
      <c r="L602" s="4">
        <f>INDEX(products!$A$1:$G$49,MATCH(orders!$D602,products!$A$1:$A$49,0),MATCH(orders!L$1,products!$A$1:$G$1,0))</f>
        <v>7.77</v>
      </c>
      <c r="M602" s="4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hidden="1" x14ac:dyDescent="0.3">
      <c r="A603" s="2" t="s">
        <v>3883</v>
      </c>
      <c r="B603" s="7">
        <v>43815</v>
      </c>
      <c r="C603" s="2" t="s">
        <v>3884</v>
      </c>
      <c r="D603" t="s">
        <v>6141</v>
      </c>
      <c r="E603" s="2">
        <v>4</v>
      </c>
      <c r="F603" s="2" t="str">
        <f>_xlfn.XLOOKUP(C603,customers!$A$1:$A$1001,customers!$B$1:$B$1001,"",0)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6">
        <f>INDEX(products!$A$1:$G$49,MATCH(orders!$D603,products!$A$1:$A$49,0),MATCH(orders!K$1,products!$A$1:$G$1,0))</f>
        <v>2.5</v>
      </c>
      <c r="L603" s="4">
        <f>INDEX(products!$A$1:$G$49,MATCH(orders!$D603,products!$A$1:$A$49,0),MATCH(orders!L$1,products!$A$1:$G$1,0))</f>
        <v>27.484999999999996</v>
      </c>
      <c r="M603" s="4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hidden="1" x14ac:dyDescent="0.3">
      <c r="A604" s="2" t="s">
        <v>3889</v>
      </c>
      <c r="B604" s="7">
        <v>43603</v>
      </c>
      <c r="C604" s="2" t="s">
        <v>3890</v>
      </c>
      <c r="D604" t="s">
        <v>6183</v>
      </c>
      <c r="E604" s="2">
        <v>5</v>
      </c>
      <c r="F604" s="2" t="str">
        <f>_xlfn.XLOOKUP(C604,customers!$A$1:$A$1001,customers!$B$1:$B$1001,"",0)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6">
        <f>INDEX(products!$A$1:$G$49,MATCH(orders!$D604,products!$A$1:$A$49,0),MATCH(orders!K$1,products!$A$1:$G$1,0))</f>
        <v>0.2</v>
      </c>
      <c r="L604" s="4">
        <f>INDEX(products!$A$1:$G$49,MATCH(orders!$D604,products!$A$1:$A$49,0),MATCH(orders!L$1,products!$A$1:$G$1,0))</f>
        <v>4.4550000000000001</v>
      </c>
      <c r="M604" s="4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hidden="1" x14ac:dyDescent="0.3">
      <c r="A605" s="2" t="s">
        <v>3895</v>
      </c>
      <c r="B605" s="7">
        <v>43660</v>
      </c>
      <c r="C605" s="2" t="s">
        <v>3896</v>
      </c>
      <c r="D605" t="s">
        <v>6173</v>
      </c>
      <c r="E605" s="2">
        <v>3</v>
      </c>
      <c r="F605" s="2" t="str">
        <f>_xlfn.XLOOKUP(C605,customers!$A$1:$A$1001,customers!$B$1:$B$1001,"",0)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6">
        <f>INDEX(products!$A$1:$G$49,MATCH(orders!$D605,products!$A$1:$A$49,0),MATCH(orders!K$1,products!$A$1:$G$1,0))</f>
        <v>0.2</v>
      </c>
      <c r="L605" s="4">
        <f>INDEX(products!$A$1:$G$49,MATCH(orders!$D605,products!$A$1:$A$49,0),MATCH(orders!L$1,products!$A$1:$G$1,0))</f>
        <v>2.9849999999999999</v>
      </c>
      <c r="M605" s="4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hidden="1" x14ac:dyDescent="0.3">
      <c r="A606" s="2" t="s">
        <v>3900</v>
      </c>
      <c r="B606" s="7">
        <v>44148</v>
      </c>
      <c r="C606" s="2" t="s">
        <v>3901</v>
      </c>
      <c r="D606" t="s">
        <v>6164</v>
      </c>
      <c r="E606" s="2">
        <v>4</v>
      </c>
      <c r="F606" s="2" t="str">
        <f>_xlfn.XLOOKUP(C606,customers!$A$1:$A$1001,customers!$B$1:$B$1001,"",0)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6">
        <f>INDEX(products!$A$1:$G$49,MATCH(orders!$D606,products!$A$1:$A$49,0),MATCH(orders!K$1,products!$A$1:$G$1,0))</f>
        <v>2.5</v>
      </c>
      <c r="L606" s="4">
        <f>INDEX(products!$A$1:$G$49,MATCH(orders!$D606,products!$A$1:$A$49,0),MATCH(orders!L$1,products!$A$1:$G$1,0))</f>
        <v>29.784999999999997</v>
      </c>
      <c r="M606" s="4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hidden="1" x14ac:dyDescent="0.3">
      <c r="A607" s="2" t="s">
        <v>3905</v>
      </c>
      <c r="B607" s="7">
        <v>44028</v>
      </c>
      <c r="C607" s="2" t="s">
        <v>3906</v>
      </c>
      <c r="D607" t="s">
        <v>6181</v>
      </c>
      <c r="E607" s="2">
        <v>5</v>
      </c>
      <c r="F607" s="2" t="str">
        <f>_xlfn.XLOOKUP(C607,customers!$A$1:$A$1001,customers!$B$1:$B$1001,"",0)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6">
        <f>INDEX(products!$A$1:$G$49,MATCH(orders!$D607,products!$A$1:$A$49,0),MATCH(orders!K$1,products!$A$1:$G$1,0))</f>
        <v>2.5</v>
      </c>
      <c r="L607" s="4">
        <f>INDEX(products!$A$1:$G$49,MATCH(orders!$D607,products!$A$1:$A$49,0),MATCH(orders!L$1,products!$A$1:$G$1,0))</f>
        <v>29.784999999999997</v>
      </c>
      <c r="M607" s="4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hidden="1" x14ac:dyDescent="0.3">
      <c r="A608" s="2" t="s">
        <v>3911</v>
      </c>
      <c r="B608" s="7">
        <v>44138</v>
      </c>
      <c r="C608" s="2" t="s">
        <v>3840</v>
      </c>
      <c r="D608" t="s">
        <v>6163</v>
      </c>
      <c r="E608" s="2">
        <v>3</v>
      </c>
      <c r="F608" s="2" t="str">
        <f>_xlfn.XLOOKUP(C608,customers!$A$1:$A$1001,customers!$B$1:$B$1001,"",0)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6">
        <f>INDEX(products!$A$1:$G$49,MATCH(orders!$D608,products!$A$1:$A$49,0),MATCH(orders!K$1,products!$A$1:$G$1,0))</f>
        <v>2.5</v>
      </c>
      <c r="L608" s="4">
        <f>INDEX(products!$A$1:$G$49,MATCH(orders!$D608,products!$A$1:$A$49,0),MATCH(orders!L$1,products!$A$1:$G$1,0))</f>
        <v>36.454999999999998</v>
      </c>
      <c r="M608" s="4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3">
      <c r="A609" s="2" t="s">
        <v>3917</v>
      </c>
      <c r="B609" s="7">
        <v>44640</v>
      </c>
      <c r="C609" s="2" t="s">
        <v>3918</v>
      </c>
      <c r="D609" t="s">
        <v>6152</v>
      </c>
      <c r="E609" s="2">
        <v>1</v>
      </c>
      <c r="F609" s="2" t="str">
        <f>_xlfn.XLOOKUP(C609,customers!$A$1:$A$1001,customers!$B$1:$B$1001,"",0)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6">
        <f>INDEX(products!$A$1:$G$49,MATCH(orders!$D609,products!$A$1:$A$49,0),MATCH(orders!K$1,products!$A$1:$G$1,0))</f>
        <v>0.2</v>
      </c>
      <c r="L609" s="4">
        <f>INDEX(products!$A$1:$G$49,MATCH(orders!$D609,products!$A$1:$A$49,0),MATCH(orders!L$1,products!$A$1:$G$1,0))</f>
        <v>3.645</v>
      </c>
      <c r="M609" s="4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3">
      <c r="A610" s="2" t="s">
        <v>3923</v>
      </c>
      <c r="B610" s="7">
        <v>44608</v>
      </c>
      <c r="C610" s="2" t="s">
        <v>3924</v>
      </c>
      <c r="D610" t="s">
        <v>6184</v>
      </c>
      <c r="E610" s="2">
        <v>2</v>
      </c>
      <c r="F610" s="2" t="str">
        <f>_xlfn.XLOOKUP(C610,customers!$A$1:$A$1001,customers!$B$1:$B$1001,"",0)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6">
        <f>INDEX(products!$A$1:$G$49,MATCH(orders!$D610,products!$A$1:$A$49,0),MATCH(orders!K$1,products!$A$1:$G$1,0))</f>
        <v>2.5</v>
      </c>
      <c r="L610" s="4">
        <f>INDEX(products!$A$1:$G$49,MATCH(orders!$D610,products!$A$1:$A$49,0),MATCH(orders!L$1,products!$A$1:$G$1,0))</f>
        <v>27.945</v>
      </c>
      <c r="M610" s="4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hidden="1" x14ac:dyDescent="0.3">
      <c r="A611" s="2" t="s">
        <v>3927</v>
      </c>
      <c r="B611" s="7">
        <v>44147</v>
      </c>
      <c r="C611" s="2" t="s">
        <v>3928</v>
      </c>
      <c r="D611" t="s">
        <v>6158</v>
      </c>
      <c r="E611" s="2">
        <v>6</v>
      </c>
      <c r="F611" s="2" t="str">
        <f>_xlfn.XLOOKUP(C611,customers!$A$1:$A$1001,customers!$B$1:$B$1001,"",0)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6">
        <f>INDEX(products!$A$1:$G$49,MATCH(orders!$D611,products!$A$1:$A$49,0),MATCH(orders!K$1,products!$A$1:$G$1,0))</f>
        <v>0.2</v>
      </c>
      <c r="L611" s="4">
        <f>INDEX(products!$A$1:$G$49,MATCH(orders!$D611,products!$A$1:$A$49,0),MATCH(orders!L$1,products!$A$1:$G$1,0))</f>
        <v>4.3650000000000002</v>
      </c>
      <c r="M611" s="4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hidden="1" x14ac:dyDescent="0.3">
      <c r="A612" s="2" t="s">
        <v>3933</v>
      </c>
      <c r="B612" s="7">
        <v>43743</v>
      </c>
      <c r="C612" s="2" t="s">
        <v>3934</v>
      </c>
      <c r="D612" t="s">
        <v>6137</v>
      </c>
      <c r="E612" s="2">
        <v>4</v>
      </c>
      <c r="F612" s="2" t="str">
        <f>_xlfn.XLOOKUP(C612,customers!$A$1:$A$1001,customers!$B$1:$B$1001,"",0)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6">
        <f>INDEX(products!$A$1:$G$49,MATCH(orders!$D612,products!$A$1:$A$49,0),MATCH(orders!K$1,products!$A$1:$G$1,0))</f>
        <v>1</v>
      </c>
      <c r="L612" s="4">
        <f>INDEX(products!$A$1:$G$49,MATCH(orders!$D612,products!$A$1:$A$49,0),MATCH(orders!L$1,products!$A$1:$G$1,0))</f>
        <v>9.9499999999999993</v>
      </c>
      <c r="M612" s="4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hidden="1" x14ac:dyDescent="0.3">
      <c r="A613" s="2" t="s">
        <v>3939</v>
      </c>
      <c r="B613" s="7">
        <v>43739</v>
      </c>
      <c r="C613" s="2" t="s">
        <v>3940</v>
      </c>
      <c r="D613" t="s">
        <v>6147</v>
      </c>
      <c r="E613" s="2">
        <v>2</v>
      </c>
      <c r="F613" s="2" t="str">
        <f>_xlfn.XLOOKUP(C613,customers!$A$1:$A$1001,customers!$B$1:$B$1001,"",0)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6">
        <f>INDEX(products!$A$1:$G$49,MATCH(orders!$D613,products!$A$1:$A$49,0),MATCH(orders!K$1,products!$A$1:$G$1,0))</f>
        <v>2.5</v>
      </c>
      <c r="L613" s="4">
        <f>INDEX(products!$A$1:$G$49,MATCH(orders!$D613,products!$A$1:$A$49,0),MATCH(orders!L$1,products!$A$1:$G$1,0))</f>
        <v>34.154999999999994</v>
      </c>
      <c r="M613" s="4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hidden="1" x14ac:dyDescent="0.3">
      <c r="A614" s="2" t="s">
        <v>3945</v>
      </c>
      <c r="B614" s="7">
        <v>43896</v>
      </c>
      <c r="C614" s="2" t="s">
        <v>3946</v>
      </c>
      <c r="D614" t="s">
        <v>6151</v>
      </c>
      <c r="E614" s="2">
        <v>4</v>
      </c>
      <c r="F614" s="2" t="str">
        <f>_xlfn.XLOOKUP(C614,customers!$A$1:$A$1001,customers!$B$1:$B$1001,"",0)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6">
        <f>INDEX(products!$A$1:$G$49,MATCH(orders!$D614,products!$A$1:$A$49,0),MATCH(orders!K$1,products!$A$1:$G$1,0))</f>
        <v>0.2</v>
      </c>
      <c r="L614" s="4">
        <f>INDEX(products!$A$1:$G$49,MATCH(orders!$D614,products!$A$1:$A$49,0),MATCH(orders!L$1,products!$A$1:$G$1,0))</f>
        <v>3.375</v>
      </c>
      <c r="M614" s="4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hidden="1" x14ac:dyDescent="0.3">
      <c r="A615" s="2" t="s">
        <v>3950</v>
      </c>
      <c r="B615" s="7">
        <v>43761</v>
      </c>
      <c r="C615" s="2" t="s">
        <v>3951</v>
      </c>
      <c r="D615" t="s">
        <v>6145</v>
      </c>
      <c r="E615" s="2">
        <v>1</v>
      </c>
      <c r="F615" s="2" t="str">
        <f>_xlfn.XLOOKUP(C615,customers!$A$1:$A$1001,customers!$B$1:$B$1001,"",0)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6">
        <f>INDEX(products!$A$1:$G$49,MATCH(orders!$D615,products!$A$1:$A$49,0),MATCH(orders!K$1,products!$A$1:$G$1,0))</f>
        <v>0.5</v>
      </c>
      <c r="L615" s="4">
        <f>INDEX(products!$A$1:$G$49,MATCH(orders!$D615,products!$A$1:$A$49,0),MATCH(orders!L$1,products!$A$1:$G$1,0))</f>
        <v>5.97</v>
      </c>
      <c r="M615" s="4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hidden="1" x14ac:dyDescent="0.3">
      <c r="A616" s="2" t="s">
        <v>3955</v>
      </c>
      <c r="B616" s="7">
        <v>43944</v>
      </c>
      <c r="C616" s="2" t="s">
        <v>3840</v>
      </c>
      <c r="D616" t="s">
        <v>6145</v>
      </c>
      <c r="E616" s="2">
        <v>5</v>
      </c>
      <c r="F616" s="2" t="str">
        <f>_xlfn.XLOOKUP(C616,customers!$A$1:$A$1001,customers!$B$1:$B$1001,"",0)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6">
        <f>INDEX(products!$A$1:$G$49,MATCH(orders!$D616,products!$A$1:$A$49,0),MATCH(orders!K$1,products!$A$1:$G$1,0))</f>
        <v>0.5</v>
      </c>
      <c r="L616" s="4">
        <f>INDEX(products!$A$1:$G$49,MATCH(orders!$D616,products!$A$1:$A$49,0),MATCH(orders!L$1,products!$A$1:$G$1,0))</f>
        <v>5.97</v>
      </c>
      <c r="M616" s="4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hidden="1" x14ac:dyDescent="0.3">
      <c r="A617" s="2" t="s">
        <v>3960</v>
      </c>
      <c r="B617" s="7">
        <v>44006</v>
      </c>
      <c r="C617" s="2" t="s">
        <v>3961</v>
      </c>
      <c r="D617" t="s">
        <v>6163</v>
      </c>
      <c r="E617" s="2">
        <v>2</v>
      </c>
      <c r="F617" s="2" t="str">
        <f>_xlfn.XLOOKUP(C617,customers!$A$1:$A$1001,customers!$B$1:$B$1001,"",0)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6">
        <f>INDEX(products!$A$1:$G$49,MATCH(orders!$D617,products!$A$1:$A$49,0),MATCH(orders!K$1,products!$A$1:$G$1,0))</f>
        <v>2.5</v>
      </c>
      <c r="L617" s="4">
        <f>INDEX(products!$A$1:$G$49,MATCH(orders!$D617,products!$A$1:$A$49,0),MATCH(orders!L$1,products!$A$1:$G$1,0))</f>
        <v>36.454999999999998</v>
      </c>
      <c r="M617" s="4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hidden="1" x14ac:dyDescent="0.3">
      <c r="A618" s="2" t="s">
        <v>3966</v>
      </c>
      <c r="B618" s="7">
        <v>44271</v>
      </c>
      <c r="C618" s="2" t="s">
        <v>3967</v>
      </c>
      <c r="D618" t="s">
        <v>6165</v>
      </c>
      <c r="E618" s="2">
        <v>4</v>
      </c>
      <c r="F618" s="2" t="str">
        <f>_xlfn.XLOOKUP(C618,customers!$A$1:$A$1001,customers!$B$1:$B$1001,"",0)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6">
        <f>INDEX(products!$A$1:$G$49,MATCH(orders!$D618,products!$A$1:$A$49,0),MATCH(orders!K$1,products!$A$1:$G$1,0))</f>
        <v>2.5</v>
      </c>
      <c r="L618" s="4">
        <f>INDEX(products!$A$1:$G$49,MATCH(orders!$D618,products!$A$1:$A$49,0),MATCH(orders!L$1,products!$A$1:$G$1,0))</f>
        <v>31.624999999999996</v>
      </c>
      <c r="M618" s="4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hidden="1" x14ac:dyDescent="0.3">
      <c r="A619" s="2" t="s">
        <v>3972</v>
      </c>
      <c r="B619" s="7">
        <v>43928</v>
      </c>
      <c r="C619" s="2" t="s">
        <v>3973</v>
      </c>
      <c r="D619" t="s">
        <v>6180</v>
      </c>
      <c r="E619" s="2">
        <v>1</v>
      </c>
      <c r="F619" s="2" t="str">
        <f>_xlfn.XLOOKUP(C619,customers!$A$1:$A$1001,customers!$B$1:$B$1001,"",0)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6">
        <f>INDEX(products!$A$1:$G$49,MATCH(orders!$D619,products!$A$1:$A$49,0),MATCH(orders!K$1,products!$A$1:$G$1,0))</f>
        <v>2.5</v>
      </c>
      <c r="L619" s="4">
        <f>INDEX(products!$A$1:$G$49,MATCH(orders!$D619,products!$A$1:$A$49,0),MATCH(orders!L$1,products!$A$1:$G$1,0))</f>
        <v>33.464999999999996</v>
      </c>
      <c r="M619" s="4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hidden="1" x14ac:dyDescent="0.3">
      <c r="A620" s="2" t="s">
        <v>3978</v>
      </c>
      <c r="B620" s="7">
        <v>44469</v>
      </c>
      <c r="C620" s="2" t="s">
        <v>3979</v>
      </c>
      <c r="D620" t="s">
        <v>6182</v>
      </c>
      <c r="E620" s="2">
        <v>6</v>
      </c>
      <c r="F620" s="2" t="str">
        <f>_xlfn.XLOOKUP(C620,customers!$A$1:$A$1001,customers!$B$1:$B$1001,"",0)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6">
        <f>INDEX(products!$A$1:$G$49,MATCH(orders!$D620,products!$A$1:$A$49,0),MATCH(orders!K$1,products!$A$1:$G$1,0))</f>
        <v>1</v>
      </c>
      <c r="L620" s="4">
        <f>INDEX(products!$A$1:$G$49,MATCH(orders!$D620,products!$A$1:$A$49,0),MATCH(orders!L$1,products!$A$1:$G$1,0))</f>
        <v>12.15</v>
      </c>
      <c r="M620" s="4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3">
      <c r="A621" s="2" t="s">
        <v>3984</v>
      </c>
      <c r="B621" s="7">
        <v>44682</v>
      </c>
      <c r="C621" s="2" t="s">
        <v>3985</v>
      </c>
      <c r="D621" t="s">
        <v>6168</v>
      </c>
      <c r="E621" s="2">
        <v>2</v>
      </c>
      <c r="F621" s="2" t="str">
        <f>_xlfn.XLOOKUP(C621,customers!$A$1:$A$1001,customers!$B$1:$B$1001,"",0)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6">
        <f>INDEX(products!$A$1:$G$49,MATCH(orders!$D621,products!$A$1:$A$49,0),MATCH(orders!K$1,products!$A$1:$G$1,0))</f>
        <v>0.5</v>
      </c>
      <c r="L621" s="4">
        <f>INDEX(products!$A$1:$G$49,MATCH(orders!$D621,products!$A$1:$A$49,0),MATCH(orders!L$1,products!$A$1:$G$1,0))</f>
        <v>7.77</v>
      </c>
      <c r="M621" s="4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hidden="1" x14ac:dyDescent="0.3">
      <c r="A622" s="2" t="s">
        <v>3990</v>
      </c>
      <c r="B622" s="7">
        <v>44217</v>
      </c>
      <c r="C622" s="2" t="s">
        <v>4042</v>
      </c>
      <c r="D622" t="s">
        <v>6151</v>
      </c>
      <c r="E622" s="2">
        <v>6</v>
      </c>
      <c r="F622" s="2" t="str">
        <f>_xlfn.XLOOKUP(C622,customers!$A$1:$A$1001,customers!$B$1:$B$1001,"",0)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6">
        <f>INDEX(products!$A$1:$G$49,MATCH(orders!$D622,products!$A$1:$A$49,0),MATCH(orders!K$1,products!$A$1:$G$1,0))</f>
        <v>0.2</v>
      </c>
      <c r="L622" s="4">
        <f>INDEX(products!$A$1:$G$49,MATCH(orders!$D622,products!$A$1:$A$49,0),MATCH(orders!L$1,products!$A$1:$G$1,0))</f>
        <v>3.375</v>
      </c>
      <c r="M622" s="4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hidden="1" x14ac:dyDescent="0.3">
      <c r="A623" s="2" t="s">
        <v>3996</v>
      </c>
      <c r="B623" s="7">
        <v>44006</v>
      </c>
      <c r="C623" s="2" t="s">
        <v>3997</v>
      </c>
      <c r="D623" t="s">
        <v>6139</v>
      </c>
      <c r="E623" s="2">
        <v>6</v>
      </c>
      <c r="F623" s="2" t="str">
        <f>_xlfn.XLOOKUP(C623,customers!$A$1:$A$1001,customers!$B$1:$B$1001,"",0)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6">
        <f>INDEX(products!$A$1:$G$49,MATCH(orders!$D623,products!$A$1:$A$49,0),MATCH(orders!K$1,products!$A$1:$G$1,0))</f>
        <v>1</v>
      </c>
      <c r="L623" s="4">
        <f>INDEX(products!$A$1:$G$49,MATCH(orders!$D623,products!$A$1:$A$49,0),MATCH(orders!L$1,products!$A$1:$G$1,0))</f>
        <v>12.95</v>
      </c>
      <c r="M623" s="4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hidden="1" x14ac:dyDescent="0.3">
      <c r="A624" s="2" t="s">
        <v>4002</v>
      </c>
      <c r="B624" s="7">
        <v>43527</v>
      </c>
      <c r="C624" s="2" t="s">
        <v>4003</v>
      </c>
      <c r="D624" t="s">
        <v>6180</v>
      </c>
      <c r="E624" s="2">
        <v>4</v>
      </c>
      <c r="F624" s="2" t="str">
        <f>_xlfn.XLOOKUP(C624,customers!$A$1:$A$1001,customers!$B$1:$B$1001,"",0)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6">
        <f>INDEX(products!$A$1:$G$49,MATCH(orders!$D624,products!$A$1:$A$49,0),MATCH(orders!K$1,products!$A$1:$G$1,0))</f>
        <v>2.5</v>
      </c>
      <c r="L624" s="4">
        <f>INDEX(products!$A$1:$G$49,MATCH(orders!$D624,products!$A$1:$A$49,0),MATCH(orders!L$1,products!$A$1:$G$1,0))</f>
        <v>33.464999999999996</v>
      </c>
      <c r="M624" s="4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hidden="1" x14ac:dyDescent="0.3">
      <c r="A625" s="2" t="s">
        <v>4007</v>
      </c>
      <c r="B625" s="7">
        <v>44224</v>
      </c>
      <c r="C625" s="2" t="s">
        <v>4008</v>
      </c>
      <c r="D625" t="s">
        <v>6182</v>
      </c>
      <c r="E625" s="2">
        <v>1</v>
      </c>
      <c r="F625" s="2" t="str">
        <f>_xlfn.XLOOKUP(C625,customers!$A$1:$A$1001,customers!$B$1:$B$1001,"",0)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6">
        <f>INDEX(products!$A$1:$G$49,MATCH(orders!$D625,products!$A$1:$A$49,0),MATCH(orders!K$1,products!$A$1:$G$1,0))</f>
        <v>1</v>
      </c>
      <c r="L625" s="4">
        <f>INDEX(products!$A$1:$G$49,MATCH(orders!$D625,products!$A$1:$A$49,0),MATCH(orders!L$1,products!$A$1:$G$1,0))</f>
        <v>12.15</v>
      </c>
      <c r="M625" s="4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hidden="1" x14ac:dyDescent="0.3">
      <c r="A626" s="2" t="s">
        <v>4012</v>
      </c>
      <c r="B626" s="7">
        <v>44010</v>
      </c>
      <c r="C626" s="2" t="s">
        <v>4013</v>
      </c>
      <c r="D626" t="s">
        <v>6165</v>
      </c>
      <c r="E626" s="2">
        <v>2</v>
      </c>
      <c r="F626" s="2" t="str">
        <f>_xlfn.XLOOKUP(C626,customers!$A$1:$A$1001,customers!$B$1:$B$1001,"",0)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6">
        <f>INDEX(products!$A$1:$G$49,MATCH(orders!$D626,products!$A$1:$A$49,0),MATCH(orders!K$1,products!$A$1:$G$1,0))</f>
        <v>2.5</v>
      </c>
      <c r="L626" s="4">
        <f>INDEX(products!$A$1:$G$49,MATCH(orders!$D626,products!$A$1:$A$49,0),MATCH(orders!L$1,products!$A$1:$G$1,0))</f>
        <v>31.624999999999996</v>
      </c>
      <c r="M626" s="4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hidden="1" x14ac:dyDescent="0.3">
      <c r="A627" s="2" t="s">
        <v>4017</v>
      </c>
      <c r="B627" s="7">
        <v>44017</v>
      </c>
      <c r="C627" s="2" t="s">
        <v>4018</v>
      </c>
      <c r="D627" t="s">
        <v>6172</v>
      </c>
      <c r="E627" s="2">
        <v>5</v>
      </c>
      <c r="F627" s="2" t="str">
        <f>_xlfn.XLOOKUP(C627,customers!$A$1:$A$1001,customers!$B$1:$B$1001,"",0)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6">
        <f>INDEX(products!$A$1:$G$49,MATCH(orders!$D627,products!$A$1:$A$49,0),MATCH(orders!K$1,products!$A$1:$G$1,0))</f>
        <v>0.5</v>
      </c>
      <c r="L627" s="4">
        <f>INDEX(products!$A$1:$G$49,MATCH(orders!$D627,products!$A$1:$A$49,0),MATCH(orders!L$1,products!$A$1:$G$1,0))</f>
        <v>7.169999999999999</v>
      </c>
      <c r="M627" s="4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hidden="1" x14ac:dyDescent="0.3">
      <c r="A628" s="2" t="s">
        <v>4023</v>
      </c>
      <c r="B628" s="7">
        <v>43526</v>
      </c>
      <c r="C628" s="2" t="s">
        <v>4024</v>
      </c>
      <c r="D628" t="s">
        <v>6174</v>
      </c>
      <c r="E628" s="2">
        <v>3</v>
      </c>
      <c r="F628" s="2" t="str">
        <f>_xlfn.XLOOKUP(C628,customers!$A$1:$A$1001,customers!$B$1:$B$1001,"",0)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6">
        <f>INDEX(products!$A$1:$G$49,MATCH(orders!$D628,products!$A$1:$A$49,0),MATCH(orders!K$1,products!$A$1:$G$1,0))</f>
        <v>2.5</v>
      </c>
      <c r="L628" s="4">
        <f>INDEX(products!$A$1:$G$49,MATCH(orders!$D628,products!$A$1:$A$49,0),MATCH(orders!L$1,products!$A$1:$G$1,0))</f>
        <v>25.874999999999996</v>
      </c>
      <c r="M628" s="4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3">
      <c r="A629" s="2" t="s">
        <v>4029</v>
      </c>
      <c r="B629" s="7">
        <v>44682</v>
      </c>
      <c r="C629" s="2" t="s">
        <v>4030</v>
      </c>
      <c r="D629" t="s">
        <v>6165</v>
      </c>
      <c r="E629" s="2">
        <v>2</v>
      </c>
      <c r="F629" s="2" t="str">
        <f>_xlfn.XLOOKUP(C629,customers!$A$1:$A$1001,customers!$B$1:$B$1001,"",0)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6">
        <f>INDEX(products!$A$1:$G$49,MATCH(orders!$D629,products!$A$1:$A$49,0),MATCH(orders!K$1,products!$A$1:$G$1,0))</f>
        <v>2.5</v>
      </c>
      <c r="L629" s="4">
        <f>INDEX(products!$A$1:$G$49,MATCH(orders!$D629,products!$A$1:$A$49,0),MATCH(orders!L$1,products!$A$1:$G$1,0))</f>
        <v>31.624999999999996</v>
      </c>
      <c r="M629" s="4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3">
      <c r="A630" s="2" t="s">
        <v>4035</v>
      </c>
      <c r="B630" s="7">
        <v>44680</v>
      </c>
      <c r="C630" s="2" t="s">
        <v>4036</v>
      </c>
      <c r="D630" t="s">
        <v>6183</v>
      </c>
      <c r="E630" s="2">
        <v>6</v>
      </c>
      <c r="F630" s="2" t="str">
        <f>_xlfn.XLOOKUP(C630,customers!$A$1:$A$1001,customers!$B$1:$B$1001,"",0)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6">
        <f>INDEX(products!$A$1:$G$49,MATCH(orders!$D630,products!$A$1:$A$49,0),MATCH(orders!K$1,products!$A$1:$G$1,0))</f>
        <v>0.2</v>
      </c>
      <c r="L630" s="4">
        <f>INDEX(products!$A$1:$G$49,MATCH(orders!$D630,products!$A$1:$A$49,0),MATCH(orders!L$1,products!$A$1:$G$1,0))</f>
        <v>4.4550000000000001</v>
      </c>
      <c r="M630" s="4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3">
      <c r="A631" s="2" t="s">
        <v>4035</v>
      </c>
      <c r="B631" s="7">
        <v>44680</v>
      </c>
      <c r="C631" s="2" t="s">
        <v>4036</v>
      </c>
      <c r="D631" t="s">
        <v>6168</v>
      </c>
      <c r="E631" s="2">
        <v>4</v>
      </c>
      <c r="F631" s="2" t="str">
        <f>_xlfn.XLOOKUP(C631,customers!$A$1:$A$1001,customers!$B$1:$B$1001,"",0)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6">
        <f>INDEX(products!$A$1:$G$49,MATCH(orders!$D631,products!$A$1:$A$49,0),MATCH(orders!K$1,products!$A$1:$G$1,0))</f>
        <v>0.5</v>
      </c>
      <c r="L631" s="4">
        <f>INDEX(products!$A$1:$G$49,MATCH(orders!$D631,products!$A$1:$A$49,0),MATCH(orders!L$1,products!$A$1:$G$1,0))</f>
        <v>7.77</v>
      </c>
      <c r="M631" s="4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3">
      <c r="A632" s="2" t="s">
        <v>4035</v>
      </c>
      <c r="B632" s="7">
        <v>44680</v>
      </c>
      <c r="C632" s="2" t="s">
        <v>4036</v>
      </c>
      <c r="D632" t="s">
        <v>6153</v>
      </c>
      <c r="E632" s="2">
        <v>1</v>
      </c>
      <c r="F632" s="2" t="str">
        <f>_xlfn.XLOOKUP(C632,customers!$A$1:$A$1001,customers!$B$1:$B$1001,"",0)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6">
        <f>INDEX(products!$A$1:$G$49,MATCH(orders!$D632,products!$A$1:$A$49,0),MATCH(orders!K$1,products!$A$1:$G$1,0))</f>
        <v>0.2</v>
      </c>
      <c r="L632" s="4">
        <f>INDEX(products!$A$1:$G$49,MATCH(orders!$D632,products!$A$1:$A$49,0),MATCH(orders!L$1,products!$A$1:$G$1,0))</f>
        <v>2.9849999999999999</v>
      </c>
      <c r="M632" s="4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3">
      <c r="A633" s="2" t="s">
        <v>4035</v>
      </c>
      <c r="B633" s="7">
        <v>44680</v>
      </c>
      <c r="C633" s="2" t="s">
        <v>4036</v>
      </c>
      <c r="D633" t="s">
        <v>6148</v>
      </c>
      <c r="E633" s="2">
        <v>5</v>
      </c>
      <c r="F633" s="2" t="str">
        <f>_xlfn.XLOOKUP(C633,customers!$A$1:$A$1001,customers!$B$1:$B$1001,"",0)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6">
        <f>INDEX(products!$A$1:$G$49,MATCH(orders!$D633,products!$A$1:$A$49,0),MATCH(orders!K$1,products!$A$1:$G$1,0))</f>
        <v>2.5</v>
      </c>
      <c r="L633" s="4">
        <f>INDEX(products!$A$1:$G$49,MATCH(orders!$D633,products!$A$1:$A$49,0),MATCH(orders!L$1,products!$A$1:$G$1,0))</f>
        <v>20.584999999999997</v>
      </c>
      <c r="M633" s="4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hidden="1" x14ac:dyDescent="0.3">
      <c r="A634" s="2" t="s">
        <v>4056</v>
      </c>
      <c r="B634" s="7">
        <v>44049</v>
      </c>
      <c r="C634" s="2" t="s">
        <v>4057</v>
      </c>
      <c r="D634" t="s">
        <v>6175</v>
      </c>
      <c r="E634" s="2">
        <v>4</v>
      </c>
      <c r="F634" s="2" t="str">
        <f>_xlfn.XLOOKUP(C634,customers!$A$1:$A$1001,customers!$B$1:$B$1001,"",0)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6">
        <f>INDEX(products!$A$1:$G$49,MATCH(orders!$D634,products!$A$1:$A$49,0),MATCH(orders!K$1,products!$A$1:$G$1,0))</f>
        <v>0.5</v>
      </c>
      <c r="L634" s="4">
        <f>INDEX(products!$A$1:$G$49,MATCH(orders!$D634,products!$A$1:$A$49,0),MATCH(orders!L$1,products!$A$1:$G$1,0))</f>
        <v>8.91</v>
      </c>
      <c r="M634" s="4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hidden="1" x14ac:dyDescent="0.3">
      <c r="A635" s="2" t="s">
        <v>4062</v>
      </c>
      <c r="B635" s="7">
        <v>43820</v>
      </c>
      <c r="C635" s="2" t="s">
        <v>4063</v>
      </c>
      <c r="D635" t="s">
        <v>6178</v>
      </c>
      <c r="E635" s="2">
        <v>4</v>
      </c>
      <c r="F635" s="2" t="str">
        <f>_xlfn.XLOOKUP(C635,customers!$A$1:$A$1001,customers!$B$1:$B$1001,"",0)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6">
        <f>INDEX(products!$A$1:$G$49,MATCH(orders!$D635,products!$A$1:$A$49,0),MATCH(orders!K$1,products!$A$1:$G$1,0))</f>
        <v>1</v>
      </c>
      <c r="L635" s="4">
        <f>INDEX(products!$A$1:$G$49,MATCH(orders!$D635,products!$A$1:$A$49,0),MATCH(orders!L$1,products!$A$1:$G$1,0))</f>
        <v>11.95</v>
      </c>
      <c r="M635" s="4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hidden="1" x14ac:dyDescent="0.3">
      <c r="A636" s="2" t="s">
        <v>4068</v>
      </c>
      <c r="B636" s="7">
        <v>43940</v>
      </c>
      <c r="C636" s="2" t="s">
        <v>4069</v>
      </c>
      <c r="D636" t="s">
        <v>6161</v>
      </c>
      <c r="E636" s="2">
        <v>3</v>
      </c>
      <c r="F636" s="2" t="str">
        <f>_xlfn.XLOOKUP(C636,customers!$A$1:$A$1001,customers!$B$1:$B$1001,"",0)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6">
        <f>INDEX(products!$A$1:$G$49,MATCH(orders!$D636,products!$A$1:$A$49,0),MATCH(orders!K$1,products!$A$1:$G$1,0))</f>
        <v>1</v>
      </c>
      <c r="L636" s="4">
        <f>INDEX(products!$A$1:$G$49,MATCH(orders!$D636,products!$A$1:$A$49,0),MATCH(orders!L$1,products!$A$1:$G$1,0))</f>
        <v>14.55</v>
      </c>
      <c r="M636" s="4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3">
      <c r="A637" s="2" t="s">
        <v>4074</v>
      </c>
      <c r="B637" s="7">
        <v>44578</v>
      </c>
      <c r="C637" s="2" t="s">
        <v>4075</v>
      </c>
      <c r="D637" t="s">
        <v>6175</v>
      </c>
      <c r="E637" s="2">
        <v>4</v>
      </c>
      <c r="F637" s="2" t="str">
        <f>_xlfn.XLOOKUP(C637,customers!$A$1:$A$1001,customers!$B$1:$B$1001,"",0)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6">
        <f>INDEX(products!$A$1:$G$49,MATCH(orders!$D637,products!$A$1:$A$49,0),MATCH(orders!K$1,products!$A$1:$G$1,0))</f>
        <v>0.5</v>
      </c>
      <c r="L637" s="4">
        <f>INDEX(products!$A$1:$G$49,MATCH(orders!$D637,products!$A$1:$A$49,0),MATCH(orders!L$1,products!$A$1:$G$1,0))</f>
        <v>8.91</v>
      </c>
      <c r="M637" s="4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hidden="1" x14ac:dyDescent="0.3">
      <c r="A638" s="2" t="s">
        <v>4080</v>
      </c>
      <c r="B638" s="7">
        <v>43487</v>
      </c>
      <c r="C638" s="2" t="s">
        <v>4081</v>
      </c>
      <c r="D638" t="s">
        <v>6169</v>
      </c>
      <c r="E638" s="2">
        <v>6</v>
      </c>
      <c r="F638" s="2" t="str">
        <f>_xlfn.XLOOKUP(C638,customers!$A$1:$A$1001,customers!$B$1:$B$1001,"",0)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6">
        <f>INDEX(products!$A$1:$G$49,MATCH(orders!$D638,products!$A$1:$A$49,0),MATCH(orders!K$1,products!$A$1:$G$1,0))</f>
        <v>1</v>
      </c>
      <c r="L638" s="4">
        <f>INDEX(products!$A$1:$G$49,MATCH(orders!$D638,products!$A$1:$A$49,0),MATCH(orders!L$1,products!$A$1:$G$1,0))</f>
        <v>15.85</v>
      </c>
      <c r="M638" s="4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hidden="1" x14ac:dyDescent="0.3">
      <c r="A639" s="2" t="s">
        <v>4086</v>
      </c>
      <c r="B639" s="7">
        <v>43889</v>
      </c>
      <c r="C639" s="2" t="s">
        <v>4087</v>
      </c>
      <c r="D639" t="s">
        <v>6165</v>
      </c>
      <c r="E639" s="2">
        <v>1</v>
      </c>
      <c r="F639" s="2" t="str">
        <f>_xlfn.XLOOKUP(C639,customers!$A$1:$A$1001,customers!$B$1:$B$1001,"",0)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6">
        <f>INDEX(products!$A$1:$G$49,MATCH(orders!$D639,products!$A$1:$A$49,0),MATCH(orders!K$1,products!$A$1:$G$1,0))</f>
        <v>2.5</v>
      </c>
      <c r="L639" s="4">
        <f>INDEX(products!$A$1:$G$49,MATCH(orders!$D639,products!$A$1:$A$49,0),MATCH(orders!L$1,products!$A$1:$G$1,0))</f>
        <v>31.624999999999996</v>
      </c>
      <c r="M639" s="4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hidden="1" x14ac:dyDescent="0.3">
      <c r="A640" s="2" t="s">
        <v>4093</v>
      </c>
      <c r="B640" s="7">
        <v>43684</v>
      </c>
      <c r="C640" s="2" t="s">
        <v>4094</v>
      </c>
      <c r="D640" t="s">
        <v>6174</v>
      </c>
      <c r="E640" s="2">
        <v>3</v>
      </c>
      <c r="F640" s="2" t="str">
        <f>_xlfn.XLOOKUP(C640,customers!$A$1:$A$1001,customers!$B$1:$B$1001,"",0)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6">
        <f>INDEX(products!$A$1:$G$49,MATCH(orders!$D640,products!$A$1:$A$49,0),MATCH(orders!K$1,products!$A$1:$G$1,0))</f>
        <v>2.5</v>
      </c>
      <c r="L640" s="4">
        <f>INDEX(products!$A$1:$G$49,MATCH(orders!$D640,products!$A$1:$A$49,0),MATCH(orders!L$1,products!$A$1:$G$1,0))</f>
        <v>25.874999999999996</v>
      </c>
      <c r="M640" s="4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hidden="1" x14ac:dyDescent="0.3">
      <c r="A641" s="2" t="s">
        <v>4098</v>
      </c>
      <c r="B641" s="7">
        <v>44331</v>
      </c>
      <c r="C641" s="2" t="s">
        <v>4099</v>
      </c>
      <c r="D641" t="s">
        <v>6149</v>
      </c>
      <c r="E641" s="2">
        <v>1</v>
      </c>
      <c r="F641" s="2" t="str">
        <f>_xlfn.XLOOKUP(C641,customers!$A$1:$A$1001,customers!$B$1:$B$1001,"",0)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6">
        <f>INDEX(products!$A$1:$G$49,MATCH(orders!$D641,products!$A$1:$A$49,0),MATCH(orders!K$1,products!$A$1:$G$1,0))</f>
        <v>0.2</v>
      </c>
      <c r="L641" s="4">
        <f>INDEX(products!$A$1:$G$49,MATCH(orders!$D641,products!$A$1:$A$49,0),MATCH(orders!L$1,products!$A$1:$G$1,0))</f>
        <v>3.8849999999999998</v>
      </c>
      <c r="M641" s="4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hidden="1" x14ac:dyDescent="0.3">
      <c r="A642" s="2" t="s">
        <v>4104</v>
      </c>
      <c r="B642" s="7">
        <v>44547</v>
      </c>
      <c r="C642" s="2" t="s">
        <v>4152</v>
      </c>
      <c r="D642" t="s">
        <v>6141</v>
      </c>
      <c r="E642" s="2">
        <v>5</v>
      </c>
      <c r="F642" s="2" t="str">
        <f>_xlfn.XLOOKUP(C642,customers!$A$1:$A$1001,customers!$B$1:$B$1001,"",0)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6">
        <f>INDEX(products!$A$1:$G$49,MATCH(orders!$D642,products!$A$1:$A$49,0),MATCH(orders!K$1,products!$A$1:$G$1,0))</f>
        <v>2.5</v>
      </c>
      <c r="L642" s="4">
        <f>INDEX(products!$A$1:$G$49,MATCH(orders!$D642,products!$A$1:$A$49,0),MATCH(orders!L$1,products!$A$1:$G$1,0))</f>
        <v>27.484999999999996</v>
      </c>
      <c r="M642" s="4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hidden="1" x14ac:dyDescent="0.3">
      <c r="A643" s="2" t="s">
        <v>4109</v>
      </c>
      <c r="B643" s="7">
        <v>44448</v>
      </c>
      <c r="C643" s="2" t="s">
        <v>4110</v>
      </c>
      <c r="D643" t="s">
        <v>6178</v>
      </c>
      <c r="E643" s="2">
        <v>3</v>
      </c>
      <c r="F643" s="2" t="str">
        <f>_xlfn.XLOOKUP(C643,customers!$A$1:$A$1001,customers!$B$1:$B$1001,"",0)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6">
        <f>INDEX(products!$A$1:$G$49,MATCH(orders!$D643,products!$A$1:$A$49,0),MATCH(orders!K$1,products!$A$1:$G$1,0))</f>
        <v>1</v>
      </c>
      <c r="L643" s="4">
        <f>INDEX(products!$A$1:$G$49,MATCH(orders!$D643,products!$A$1:$A$49,0),MATCH(orders!L$1,products!$A$1:$G$1,0))</f>
        <v>11.95</v>
      </c>
      <c r="M643" s="4">
        <f t="shared" ref="M643:M706" si="30">E643*L643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hidden="1" x14ac:dyDescent="0.3">
      <c r="A644" s="2" t="s">
        <v>4115</v>
      </c>
      <c r="B644" s="7">
        <v>43880</v>
      </c>
      <c r="C644" s="2" t="s">
        <v>4116</v>
      </c>
      <c r="D644" t="s">
        <v>6155</v>
      </c>
      <c r="E644" s="2">
        <v>2</v>
      </c>
      <c r="F644" s="2" t="str">
        <f>_xlfn.XLOOKUP(C644,customers!$A$1:$A$1001,customers!$B$1:$B$1001,"",0)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6">
        <f>INDEX(products!$A$1:$G$49,MATCH(orders!$D644,products!$A$1:$A$49,0),MATCH(orders!K$1,products!$A$1:$G$1,0))</f>
        <v>0.2</v>
      </c>
      <c r="L644" s="4">
        <f>INDEX(products!$A$1:$G$49,MATCH(orders!$D644,products!$A$1:$A$49,0),MATCH(orders!L$1,products!$A$1:$G$1,0))</f>
        <v>4.125</v>
      </c>
      <c r="M644" s="4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hidden="1" x14ac:dyDescent="0.3">
      <c r="A645" s="2" t="s">
        <v>4123</v>
      </c>
      <c r="B645" s="7">
        <v>44011</v>
      </c>
      <c r="C645" s="2" t="s">
        <v>4124</v>
      </c>
      <c r="D645" t="s">
        <v>6147</v>
      </c>
      <c r="E645" s="2">
        <v>3</v>
      </c>
      <c r="F645" s="2" t="str">
        <f>_xlfn.XLOOKUP(C645,customers!$A$1:$A$1001,customers!$B$1:$B$1001,"",0)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6">
        <f>INDEX(products!$A$1:$G$49,MATCH(orders!$D645,products!$A$1:$A$49,0),MATCH(orders!K$1,products!$A$1:$G$1,0))</f>
        <v>2.5</v>
      </c>
      <c r="L645" s="4">
        <f>INDEX(products!$A$1:$G$49,MATCH(orders!$D645,products!$A$1:$A$49,0),MATCH(orders!L$1,products!$A$1:$G$1,0))</f>
        <v>34.154999999999994</v>
      </c>
      <c r="M645" s="4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3">
      <c r="A646" s="2" t="s">
        <v>4128</v>
      </c>
      <c r="B646" s="7">
        <v>44694</v>
      </c>
      <c r="C646" s="2" t="s">
        <v>4129</v>
      </c>
      <c r="D646" t="s">
        <v>6148</v>
      </c>
      <c r="E646" s="2">
        <v>2</v>
      </c>
      <c r="F646" s="2" t="str">
        <f>_xlfn.XLOOKUP(C646,customers!$A$1:$A$1001,customers!$B$1:$B$1001,"",0)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6">
        <f>INDEX(products!$A$1:$G$49,MATCH(orders!$D646,products!$A$1:$A$49,0),MATCH(orders!K$1,products!$A$1:$G$1,0))</f>
        <v>2.5</v>
      </c>
      <c r="L646" s="4">
        <f>INDEX(products!$A$1:$G$49,MATCH(orders!$D646,products!$A$1:$A$49,0),MATCH(orders!L$1,products!$A$1:$G$1,0))</f>
        <v>20.584999999999997</v>
      </c>
      <c r="M646" s="4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hidden="1" x14ac:dyDescent="0.3">
      <c r="A647" s="2" t="s">
        <v>4133</v>
      </c>
      <c r="B647" s="7">
        <v>44106</v>
      </c>
      <c r="C647" s="2" t="s">
        <v>4134</v>
      </c>
      <c r="D647" t="s">
        <v>6167</v>
      </c>
      <c r="E647" s="2">
        <v>3</v>
      </c>
      <c r="F647" s="2" t="str">
        <f>_xlfn.XLOOKUP(C647,customers!$A$1:$A$1001,customers!$B$1:$B$1001,"",0)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6">
        <f>INDEX(products!$A$1:$G$49,MATCH(orders!$D647,products!$A$1:$A$49,0),MATCH(orders!K$1,products!$A$1:$G$1,0))</f>
        <v>2.5</v>
      </c>
      <c r="L647" s="4">
        <f>INDEX(products!$A$1:$G$49,MATCH(orders!$D647,products!$A$1:$A$49,0),MATCH(orders!L$1,products!$A$1:$G$1,0))</f>
        <v>22.884999999999998</v>
      </c>
      <c r="M647" s="4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hidden="1" x14ac:dyDescent="0.3">
      <c r="A648" s="2" t="s">
        <v>4139</v>
      </c>
      <c r="B648" s="7">
        <v>44532</v>
      </c>
      <c r="C648" s="2" t="s">
        <v>4140</v>
      </c>
      <c r="D648" t="s">
        <v>6146</v>
      </c>
      <c r="E648" s="2">
        <v>1</v>
      </c>
      <c r="F648" s="2" t="str">
        <f>_xlfn.XLOOKUP(C648,customers!$A$1:$A$1001,customers!$B$1:$B$1001,"",0)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6">
        <f>INDEX(products!$A$1:$G$49,MATCH(orders!$D648,products!$A$1:$A$49,0),MATCH(orders!K$1,products!$A$1:$G$1,0))</f>
        <v>1</v>
      </c>
      <c r="L648" s="4">
        <f>INDEX(products!$A$1:$G$49,MATCH(orders!$D648,products!$A$1:$A$49,0),MATCH(orders!L$1,products!$A$1:$G$1,0))</f>
        <v>9.9499999999999993</v>
      </c>
      <c r="M648" s="4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hidden="1" x14ac:dyDescent="0.3">
      <c r="A649" s="2" t="s">
        <v>4145</v>
      </c>
      <c r="B649" s="7">
        <v>44502</v>
      </c>
      <c r="C649" s="2" t="s">
        <v>4146</v>
      </c>
      <c r="D649" t="s">
        <v>6160</v>
      </c>
      <c r="E649" s="2">
        <v>3</v>
      </c>
      <c r="F649" s="2" t="str">
        <f>_xlfn.XLOOKUP(C649,customers!$A$1:$A$1001,customers!$B$1:$B$1001,"",0)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6">
        <f>INDEX(products!$A$1:$G$49,MATCH(orders!$D649,products!$A$1:$A$49,0),MATCH(orders!K$1,products!$A$1:$G$1,0))</f>
        <v>0.5</v>
      </c>
      <c r="L649" s="4">
        <f>INDEX(products!$A$1:$G$49,MATCH(orders!$D649,products!$A$1:$A$49,0),MATCH(orders!L$1,products!$A$1:$G$1,0))</f>
        <v>9.51</v>
      </c>
      <c r="M649" s="4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hidden="1" x14ac:dyDescent="0.3">
      <c r="A650" s="2" t="s">
        <v>4151</v>
      </c>
      <c r="B650" s="7">
        <v>43884</v>
      </c>
      <c r="C650" s="2" t="s">
        <v>4152</v>
      </c>
      <c r="D650" t="s">
        <v>6162</v>
      </c>
      <c r="E650" s="2">
        <v>6</v>
      </c>
      <c r="F650" s="2" t="str">
        <f>_xlfn.XLOOKUP(C650,customers!$A$1:$A$1001,customers!$B$1:$B$1001,"",0)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6">
        <f>INDEX(products!$A$1:$G$49,MATCH(orders!$D650,products!$A$1:$A$49,0),MATCH(orders!K$1,products!$A$1:$G$1,0))</f>
        <v>0.2</v>
      </c>
      <c r="L650" s="4">
        <f>INDEX(products!$A$1:$G$49,MATCH(orders!$D650,products!$A$1:$A$49,0),MATCH(orders!L$1,products!$A$1:$G$1,0))</f>
        <v>2.6849999999999996</v>
      </c>
      <c r="M650" s="4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hidden="1" x14ac:dyDescent="0.3">
      <c r="A651" s="2" t="s">
        <v>4157</v>
      </c>
      <c r="B651" s="7">
        <v>44015</v>
      </c>
      <c r="C651" s="2" t="s">
        <v>4158</v>
      </c>
      <c r="D651" t="s">
        <v>6169</v>
      </c>
      <c r="E651" s="2">
        <v>6</v>
      </c>
      <c r="F651" s="2" t="str">
        <f>_xlfn.XLOOKUP(C651,customers!$A$1:$A$1001,customers!$B$1:$B$1001,"",0)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6">
        <f>INDEX(products!$A$1:$G$49,MATCH(orders!$D651,products!$A$1:$A$49,0),MATCH(orders!K$1,products!$A$1:$G$1,0))</f>
        <v>1</v>
      </c>
      <c r="L651" s="4">
        <f>INDEX(products!$A$1:$G$49,MATCH(orders!$D651,products!$A$1:$A$49,0),MATCH(orders!L$1,products!$A$1:$G$1,0))</f>
        <v>15.85</v>
      </c>
      <c r="M651" s="4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hidden="1" x14ac:dyDescent="0.3">
      <c r="A652" s="2" t="s">
        <v>4163</v>
      </c>
      <c r="B652" s="7">
        <v>43507</v>
      </c>
      <c r="C652" s="2" t="s">
        <v>4164</v>
      </c>
      <c r="D652" t="s">
        <v>6171</v>
      </c>
      <c r="E652" s="2">
        <v>1</v>
      </c>
      <c r="F652" s="2" t="str">
        <f>_xlfn.XLOOKUP(C652,customers!$A$1:$A$1001,customers!$B$1:$B$1001,"",0)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6">
        <f>INDEX(products!$A$1:$G$49,MATCH(orders!$D652,products!$A$1:$A$49,0),MATCH(orders!K$1,products!$A$1:$G$1,0))</f>
        <v>0.5</v>
      </c>
      <c r="L652" s="4">
        <f>INDEX(products!$A$1:$G$49,MATCH(orders!$D652,products!$A$1:$A$49,0),MATCH(orders!L$1,products!$A$1:$G$1,0))</f>
        <v>5.3699999999999992</v>
      </c>
      <c r="M652" s="4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hidden="1" x14ac:dyDescent="0.3">
      <c r="A653" s="2" t="s">
        <v>4169</v>
      </c>
      <c r="B653" s="7">
        <v>44084</v>
      </c>
      <c r="C653" s="2" t="s">
        <v>4170</v>
      </c>
      <c r="D653" t="s">
        <v>6178</v>
      </c>
      <c r="E653" s="2">
        <v>4</v>
      </c>
      <c r="F653" s="2" t="str">
        <f>_xlfn.XLOOKUP(C653,customers!$A$1:$A$1001,customers!$B$1:$B$1001,"",0)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6">
        <f>INDEX(products!$A$1:$G$49,MATCH(orders!$D653,products!$A$1:$A$49,0),MATCH(orders!K$1,products!$A$1:$G$1,0))</f>
        <v>1</v>
      </c>
      <c r="L653" s="4">
        <f>INDEX(products!$A$1:$G$49,MATCH(orders!$D653,products!$A$1:$A$49,0),MATCH(orders!L$1,products!$A$1:$G$1,0))</f>
        <v>11.95</v>
      </c>
      <c r="M653" s="4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hidden="1" x14ac:dyDescent="0.3">
      <c r="A654" s="2" t="s">
        <v>4174</v>
      </c>
      <c r="B654" s="7">
        <v>43892</v>
      </c>
      <c r="C654" s="2" t="s">
        <v>4175</v>
      </c>
      <c r="D654" t="s">
        <v>6169</v>
      </c>
      <c r="E654" s="2">
        <v>4</v>
      </c>
      <c r="F654" s="2" t="str">
        <f>_xlfn.XLOOKUP(C654,customers!$A$1:$A$1001,customers!$B$1:$B$1001,"",0)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6">
        <f>INDEX(products!$A$1:$G$49,MATCH(orders!$D654,products!$A$1:$A$49,0),MATCH(orders!K$1,products!$A$1:$G$1,0))</f>
        <v>1</v>
      </c>
      <c r="L654" s="4">
        <f>INDEX(products!$A$1:$G$49,MATCH(orders!$D654,products!$A$1:$A$49,0),MATCH(orders!L$1,products!$A$1:$G$1,0))</f>
        <v>15.85</v>
      </c>
      <c r="M654" s="4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hidden="1" x14ac:dyDescent="0.3">
      <c r="A655" s="2" t="s">
        <v>4179</v>
      </c>
      <c r="B655" s="7">
        <v>44375</v>
      </c>
      <c r="C655" s="2" t="s">
        <v>4180</v>
      </c>
      <c r="D655" t="s">
        <v>6174</v>
      </c>
      <c r="E655" s="2">
        <v>4</v>
      </c>
      <c r="F655" s="2" t="str">
        <f>_xlfn.XLOOKUP(C655,customers!$A$1:$A$1001,customers!$B$1:$B$1001,"",0)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6">
        <f>INDEX(products!$A$1:$G$49,MATCH(orders!$D655,products!$A$1:$A$49,0),MATCH(orders!K$1,products!$A$1:$G$1,0))</f>
        <v>2.5</v>
      </c>
      <c r="L655" s="4">
        <f>INDEX(products!$A$1:$G$49,MATCH(orders!$D655,products!$A$1:$A$49,0),MATCH(orders!L$1,products!$A$1:$G$1,0))</f>
        <v>25.874999999999996</v>
      </c>
      <c r="M655" s="4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hidden="1" x14ac:dyDescent="0.3">
      <c r="A656" s="2" t="s">
        <v>4185</v>
      </c>
      <c r="B656" s="7">
        <v>43476</v>
      </c>
      <c r="C656" s="2" t="s">
        <v>4186</v>
      </c>
      <c r="D656" t="s">
        <v>6167</v>
      </c>
      <c r="E656" s="2">
        <v>3</v>
      </c>
      <c r="F656" s="2" t="str">
        <f>_xlfn.XLOOKUP(C656,customers!$A$1:$A$1001,customers!$B$1:$B$1001,"",0)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6">
        <f>INDEX(products!$A$1:$G$49,MATCH(orders!$D656,products!$A$1:$A$49,0),MATCH(orders!K$1,products!$A$1:$G$1,0))</f>
        <v>2.5</v>
      </c>
      <c r="L656" s="4">
        <f>INDEX(products!$A$1:$G$49,MATCH(orders!$D656,products!$A$1:$A$49,0),MATCH(orders!L$1,products!$A$1:$G$1,0))</f>
        <v>22.884999999999998</v>
      </c>
      <c r="M656" s="4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hidden="1" x14ac:dyDescent="0.3">
      <c r="A657" s="2" t="s">
        <v>4191</v>
      </c>
      <c r="B657" s="7">
        <v>43728</v>
      </c>
      <c r="C657" s="2" t="s">
        <v>4192</v>
      </c>
      <c r="D657" t="s">
        <v>6150</v>
      </c>
      <c r="E657" s="2">
        <v>2</v>
      </c>
      <c r="F657" s="2" t="str">
        <f>_xlfn.XLOOKUP(C657,customers!$A$1:$A$1001,customers!$B$1:$B$1001,"",0)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6">
        <f>INDEX(products!$A$1:$G$49,MATCH(orders!$D657,products!$A$1:$A$49,0),MATCH(orders!K$1,products!$A$1:$G$1,0))</f>
        <v>2.5</v>
      </c>
      <c r="L657" s="4">
        <f>INDEX(products!$A$1:$G$49,MATCH(orders!$D657,products!$A$1:$A$49,0),MATCH(orders!L$1,products!$A$1:$G$1,0))</f>
        <v>22.884999999999998</v>
      </c>
      <c r="M657" s="4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hidden="1" x14ac:dyDescent="0.3">
      <c r="A658" s="2" t="s">
        <v>4196</v>
      </c>
      <c r="B658" s="7">
        <v>44485</v>
      </c>
      <c r="C658" s="2" t="s">
        <v>4197</v>
      </c>
      <c r="D658" t="s">
        <v>6142</v>
      </c>
      <c r="E658" s="2">
        <v>4</v>
      </c>
      <c r="F658" s="2" t="str">
        <f>_xlfn.XLOOKUP(C658,customers!$A$1:$A$1001,customers!$B$1:$B$1001,"",0)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6">
        <f>INDEX(products!$A$1:$G$49,MATCH(orders!$D658,products!$A$1:$A$49,0),MATCH(orders!K$1,products!$A$1:$G$1,0))</f>
        <v>1</v>
      </c>
      <c r="L658" s="4">
        <f>INDEX(products!$A$1:$G$49,MATCH(orders!$D658,products!$A$1:$A$49,0),MATCH(orders!L$1,products!$A$1:$G$1,0))</f>
        <v>12.95</v>
      </c>
      <c r="M658" s="4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hidden="1" x14ac:dyDescent="0.3">
      <c r="A659" s="2" t="s">
        <v>4201</v>
      </c>
      <c r="B659" s="7">
        <v>43831</v>
      </c>
      <c r="C659" s="2" t="s">
        <v>4202</v>
      </c>
      <c r="D659" t="s">
        <v>6156</v>
      </c>
      <c r="E659" s="2">
        <v>2</v>
      </c>
      <c r="F659" s="2" t="str">
        <f>_xlfn.XLOOKUP(C659,customers!$A$1:$A$1001,customers!$B$1:$B$1001,"",0)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6">
        <f>INDEX(products!$A$1:$G$49,MATCH(orders!$D659,products!$A$1:$A$49,0),MATCH(orders!K$1,products!$A$1:$G$1,0))</f>
        <v>0.5</v>
      </c>
      <c r="L659" s="4">
        <f>INDEX(products!$A$1:$G$49,MATCH(orders!$D659,products!$A$1:$A$49,0),MATCH(orders!L$1,products!$A$1:$G$1,0))</f>
        <v>6.75</v>
      </c>
      <c r="M659" s="4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3">
      <c r="A660" s="2" t="s">
        <v>4207</v>
      </c>
      <c r="B660" s="7">
        <v>44630</v>
      </c>
      <c r="C660" s="2" t="s">
        <v>4263</v>
      </c>
      <c r="D660" t="s">
        <v>6138</v>
      </c>
      <c r="E660" s="2">
        <v>3</v>
      </c>
      <c r="F660" s="2" t="str">
        <f>_xlfn.XLOOKUP(C660,customers!$A$1:$A$1001,customers!$B$1:$B$1001,"",0)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6">
        <f>INDEX(products!$A$1:$G$49,MATCH(orders!$D660,products!$A$1:$A$49,0),MATCH(orders!K$1,products!$A$1:$G$1,0))</f>
        <v>0.5</v>
      </c>
      <c r="L660" s="4">
        <f>INDEX(products!$A$1:$G$49,MATCH(orders!$D660,products!$A$1:$A$49,0),MATCH(orders!L$1,products!$A$1:$G$1,0))</f>
        <v>8.25</v>
      </c>
      <c r="M660" s="4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3">
      <c r="A661" s="2" t="s">
        <v>4211</v>
      </c>
      <c r="B661" s="7">
        <v>44693</v>
      </c>
      <c r="C661" s="2" t="s">
        <v>4212</v>
      </c>
      <c r="D661" t="s">
        <v>6167</v>
      </c>
      <c r="E661" s="2">
        <v>2</v>
      </c>
      <c r="F661" s="2" t="str">
        <f>_xlfn.XLOOKUP(C661,customers!$A$1:$A$1001,customers!$B$1:$B$1001,"",0)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6">
        <f>INDEX(products!$A$1:$G$49,MATCH(orders!$D661,products!$A$1:$A$49,0),MATCH(orders!K$1,products!$A$1:$G$1,0))</f>
        <v>2.5</v>
      </c>
      <c r="L661" s="4">
        <f>INDEX(products!$A$1:$G$49,MATCH(orders!$D661,products!$A$1:$A$49,0),MATCH(orders!L$1,products!$A$1:$G$1,0))</f>
        <v>22.884999999999998</v>
      </c>
      <c r="M661" s="4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hidden="1" x14ac:dyDescent="0.3">
      <c r="A662" s="2" t="s">
        <v>4217</v>
      </c>
      <c r="B662" s="7">
        <v>44084</v>
      </c>
      <c r="C662" s="2" t="s">
        <v>4218</v>
      </c>
      <c r="D662" t="s">
        <v>6175</v>
      </c>
      <c r="E662" s="2">
        <v>6</v>
      </c>
      <c r="F662" s="2" t="str">
        <f>_xlfn.XLOOKUP(C662,customers!$A$1:$A$1001,customers!$B$1:$B$1001,"",0)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6">
        <f>INDEX(products!$A$1:$G$49,MATCH(orders!$D662,products!$A$1:$A$49,0),MATCH(orders!K$1,products!$A$1:$G$1,0))</f>
        <v>0.5</v>
      </c>
      <c r="L662" s="4">
        <f>INDEX(products!$A$1:$G$49,MATCH(orders!$D662,products!$A$1:$A$49,0),MATCH(orders!L$1,products!$A$1:$G$1,0))</f>
        <v>8.91</v>
      </c>
      <c r="M662" s="4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hidden="1" x14ac:dyDescent="0.3">
      <c r="A663" s="2" t="s">
        <v>4223</v>
      </c>
      <c r="B663" s="7">
        <v>44485</v>
      </c>
      <c r="C663" s="2" t="s">
        <v>4224</v>
      </c>
      <c r="D663" t="s">
        <v>6151</v>
      </c>
      <c r="E663" s="2">
        <v>6</v>
      </c>
      <c r="F663" s="2" t="str">
        <f>_xlfn.XLOOKUP(C663,customers!$A$1:$A$1001,customers!$B$1:$B$1001,"",0)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6">
        <f>INDEX(products!$A$1:$G$49,MATCH(orders!$D663,products!$A$1:$A$49,0),MATCH(orders!K$1,products!$A$1:$G$1,0))</f>
        <v>0.2</v>
      </c>
      <c r="L663" s="4">
        <f>INDEX(products!$A$1:$G$49,MATCH(orders!$D663,products!$A$1:$A$49,0),MATCH(orders!L$1,products!$A$1:$G$1,0))</f>
        <v>3.375</v>
      </c>
      <c r="M663" s="4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hidden="1" x14ac:dyDescent="0.3">
      <c r="A664" s="2" t="s">
        <v>4229</v>
      </c>
      <c r="B664" s="7">
        <v>44364</v>
      </c>
      <c r="C664" s="2" t="s">
        <v>4230</v>
      </c>
      <c r="D664" t="s">
        <v>6164</v>
      </c>
      <c r="E664" s="2">
        <v>5</v>
      </c>
      <c r="F664" s="2" t="str">
        <f>_xlfn.XLOOKUP(C664,customers!$A$1:$A$1001,customers!$B$1:$B$1001,"",0)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6">
        <f>INDEX(products!$A$1:$G$49,MATCH(orders!$D664,products!$A$1:$A$49,0),MATCH(orders!K$1,products!$A$1:$G$1,0))</f>
        <v>2.5</v>
      </c>
      <c r="L664" s="4">
        <f>INDEX(products!$A$1:$G$49,MATCH(orders!$D664,products!$A$1:$A$49,0),MATCH(orders!L$1,products!$A$1:$G$1,0))</f>
        <v>29.784999999999997</v>
      </c>
      <c r="M664" s="4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hidden="1" x14ac:dyDescent="0.3">
      <c r="A665" s="2" t="s">
        <v>4234</v>
      </c>
      <c r="B665" s="7">
        <v>43554</v>
      </c>
      <c r="C665" s="2" t="s">
        <v>4235</v>
      </c>
      <c r="D665" t="s">
        <v>6154</v>
      </c>
      <c r="E665" s="2">
        <v>6</v>
      </c>
      <c r="F665" s="2" t="str">
        <f>_xlfn.XLOOKUP(C665,customers!$A$1:$A$1001,customers!$B$1:$B$1001,"",0)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6">
        <f>INDEX(products!$A$1:$G$49,MATCH(orders!$D665,products!$A$1:$A$49,0),MATCH(orders!K$1,products!$A$1:$G$1,0))</f>
        <v>1</v>
      </c>
      <c r="L665" s="4">
        <f>INDEX(products!$A$1:$G$49,MATCH(orders!$D665,products!$A$1:$A$49,0),MATCH(orders!L$1,products!$A$1:$G$1,0))</f>
        <v>11.25</v>
      </c>
      <c r="M665" s="4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hidden="1" x14ac:dyDescent="0.3">
      <c r="A666" s="2" t="s">
        <v>4239</v>
      </c>
      <c r="B666" s="7">
        <v>44549</v>
      </c>
      <c r="C666" s="2" t="s">
        <v>4240</v>
      </c>
      <c r="D666" t="s">
        <v>6182</v>
      </c>
      <c r="E666" s="2">
        <v>6</v>
      </c>
      <c r="F666" s="2" t="str">
        <f>_xlfn.XLOOKUP(C666,customers!$A$1:$A$1001,customers!$B$1:$B$1001,"",0)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6">
        <f>INDEX(products!$A$1:$G$49,MATCH(orders!$D666,products!$A$1:$A$49,0),MATCH(orders!K$1,products!$A$1:$G$1,0))</f>
        <v>1</v>
      </c>
      <c r="L666" s="4">
        <f>INDEX(products!$A$1:$G$49,MATCH(orders!$D666,products!$A$1:$A$49,0),MATCH(orders!L$1,products!$A$1:$G$1,0))</f>
        <v>12.15</v>
      </c>
      <c r="M666" s="4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hidden="1" x14ac:dyDescent="0.3">
      <c r="A667" s="2" t="s">
        <v>4239</v>
      </c>
      <c r="B667" s="7">
        <v>44549</v>
      </c>
      <c r="C667" s="2" t="s">
        <v>4240</v>
      </c>
      <c r="D667" t="s">
        <v>6149</v>
      </c>
      <c r="E667" s="2">
        <v>2</v>
      </c>
      <c r="F667" s="2" t="str">
        <f>_xlfn.XLOOKUP(C667,customers!$A$1:$A$1001,customers!$B$1:$B$1001,"",0)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6">
        <f>INDEX(products!$A$1:$G$49,MATCH(orders!$D667,products!$A$1:$A$49,0),MATCH(orders!K$1,products!$A$1:$G$1,0))</f>
        <v>0.2</v>
      </c>
      <c r="L667" s="4">
        <f>INDEX(products!$A$1:$G$49,MATCH(orders!$D667,products!$A$1:$A$49,0),MATCH(orders!L$1,products!$A$1:$G$1,0))</f>
        <v>3.8849999999999998</v>
      </c>
      <c r="M667" s="4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hidden="1" x14ac:dyDescent="0.3">
      <c r="A668" s="2" t="s">
        <v>4250</v>
      </c>
      <c r="B668" s="7">
        <v>43987</v>
      </c>
      <c r="C668" s="2" t="s">
        <v>4251</v>
      </c>
      <c r="D668" t="s">
        <v>6167</v>
      </c>
      <c r="E668" s="2">
        <v>4</v>
      </c>
      <c r="F668" s="2" t="str">
        <f>_xlfn.XLOOKUP(C668,customers!$A$1:$A$1001,customers!$B$1:$B$1001,"",0)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6">
        <f>INDEX(products!$A$1:$G$49,MATCH(orders!$D668,products!$A$1:$A$49,0),MATCH(orders!K$1,products!$A$1:$G$1,0))</f>
        <v>2.5</v>
      </c>
      <c r="L668" s="4">
        <f>INDEX(products!$A$1:$G$49,MATCH(orders!$D668,products!$A$1:$A$49,0),MATCH(orders!L$1,products!$A$1:$G$1,0))</f>
        <v>22.884999999999998</v>
      </c>
      <c r="M668" s="4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hidden="1" x14ac:dyDescent="0.3">
      <c r="A669" s="2" t="s">
        <v>4256</v>
      </c>
      <c r="B669" s="7">
        <v>44451</v>
      </c>
      <c r="C669" s="2" t="s">
        <v>4257</v>
      </c>
      <c r="D669" t="s">
        <v>6146</v>
      </c>
      <c r="E669" s="2">
        <v>6</v>
      </c>
      <c r="F669" s="2" t="str">
        <f>_xlfn.XLOOKUP(C669,customers!$A$1:$A$1001,customers!$B$1:$B$1001,"",0)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6">
        <f>INDEX(products!$A$1:$G$49,MATCH(orders!$D669,products!$A$1:$A$49,0),MATCH(orders!K$1,products!$A$1:$G$1,0))</f>
        <v>1</v>
      </c>
      <c r="L669" s="4">
        <f>INDEX(products!$A$1:$G$49,MATCH(orders!$D669,products!$A$1:$A$49,0),MATCH(orders!L$1,products!$A$1:$G$1,0))</f>
        <v>9.9499999999999993</v>
      </c>
      <c r="M669" s="4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3">
      <c r="A670" s="2" t="s">
        <v>4262</v>
      </c>
      <c r="B670" s="7">
        <v>44636</v>
      </c>
      <c r="C670" s="2" t="s">
        <v>4263</v>
      </c>
      <c r="D670" t="s">
        <v>6141</v>
      </c>
      <c r="E670" s="2">
        <v>5</v>
      </c>
      <c r="F670" s="2" t="str">
        <f>_xlfn.XLOOKUP(C670,customers!$A$1:$A$1001,customers!$B$1:$B$1001,"",0)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6">
        <f>INDEX(products!$A$1:$G$49,MATCH(orders!$D670,products!$A$1:$A$49,0),MATCH(orders!K$1,products!$A$1:$G$1,0))</f>
        <v>2.5</v>
      </c>
      <c r="L670" s="4">
        <f>INDEX(products!$A$1:$G$49,MATCH(orders!$D670,products!$A$1:$A$49,0),MATCH(orders!L$1,products!$A$1:$G$1,0))</f>
        <v>27.484999999999996</v>
      </c>
      <c r="M670" s="4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hidden="1" x14ac:dyDescent="0.3">
      <c r="A671" s="2" t="s">
        <v>4268</v>
      </c>
      <c r="B671" s="7">
        <v>44551</v>
      </c>
      <c r="C671" s="2" t="s">
        <v>4269</v>
      </c>
      <c r="D671" t="s">
        <v>6180</v>
      </c>
      <c r="E671" s="2">
        <v>2</v>
      </c>
      <c r="F671" s="2" t="str">
        <f>_xlfn.XLOOKUP(C671,customers!$A$1:$A$1001,customers!$B$1:$B$1001,"",0)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6">
        <f>INDEX(products!$A$1:$G$49,MATCH(orders!$D671,products!$A$1:$A$49,0),MATCH(orders!K$1,products!$A$1:$G$1,0))</f>
        <v>2.5</v>
      </c>
      <c r="L671" s="4">
        <f>INDEX(products!$A$1:$G$49,MATCH(orders!$D671,products!$A$1:$A$49,0),MATCH(orders!L$1,products!$A$1:$G$1,0))</f>
        <v>33.464999999999996</v>
      </c>
      <c r="M671" s="4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hidden="1" x14ac:dyDescent="0.3">
      <c r="A672" s="2" t="s">
        <v>4274</v>
      </c>
      <c r="B672" s="7">
        <v>43606</v>
      </c>
      <c r="C672" s="2" t="s">
        <v>4275</v>
      </c>
      <c r="D672" t="s">
        <v>6158</v>
      </c>
      <c r="E672" s="2">
        <v>3</v>
      </c>
      <c r="F672" s="2" t="str">
        <f>_xlfn.XLOOKUP(C672,customers!$A$1:$A$1001,customers!$B$1:$B$1001,"",0)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6">
        <f>INDEX(products!$A$1:$G$49,MATCH(orders!$D672,products!$A$1:$A$49,0),MATCH(orders!K$1,products!$A$1:$G$1,0))</f>
        <v>0.2</v>
      </c>
      <c r="L672" s="4">
        <f>INDEX(products!$A$1:$G$49,MATCH(orders!$D672,products!$A$1:$A$49,0),MATCH(orders!L$1,products!$A$1:$G$1,0))</f>
        <v>4.3650000000000002</v>
      </c>
      <c r="M672" s="4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hidden="1" x14ac:dyDescent="0.3">
      <c r="A673" s="2" t="s">
        <v>4280</v>
      </c>
      <c r="B673" s="7">
        <v>44495</v>
      </c>
      <c r="C673" s="2" t="s">
        <v>4281</v>
      </c>
      <c r="D673" t="s">
        <v>6178</v>
      </c>
      <c r="E673" s="2">
        <v>5</v>
      </c>
      <c r="F673" s="2" t="str">
        <f>_xlfn.XLOOKUP(C673,customers!$A$1:$A$1001,customers!$B$1:$B$1001,"",0)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6">
        <f>INDEX(products!$A$1:$G$49,MATCH(orders!$D673,products!$A$1:$A$49,0),MATCH(orders!K$1,products!$A$1:$G$1,0))</f>
        <v>1</v>
      </c>
      <c r="L673" s="4">
        <f>INDEX(products!$A$1:$G$49,MATCH(orders!$D673,products!$A$1:$A$49,0),MATCH(orders!L$1,products!$A$1:$G$1,0))</f>
        <v>11.95</v>
      </c>
      <c r="M673" s="4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hidden="1" x14ac:dyDescent="0.3">
      <c r="A674" s="2" t="s">
        <v>4286</v>
      </c>
      <c r="B674" s="7">
        <v>43916</v>
      </c>
      <c r="C674" s="2" t="s">
        <v>4287</v>
      </c>
      <c r="D674" t="s">
        <v>6159</v>
      </c>
      <c r="E674" s="2">
        <v>5</v>
      </c>
      <c r="F674" s="2" t="str">
        <f>_xlfn.XLOOKUP(C674,customers!$A$1:$A$1001,customers!$B$1:$B$1001,"",0)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6">
        <f>INDEX(products!$A$1:$G$49,MATCH(orders!$D674,products!$A$1:$A$49,0),MATCH(orders!K$1,products!$A$1:$G$1,0))</f>
        <v>0.5</v>
      </c>
      <c r="L674" s="4">
        <f>INDEX(products!$A$1:$G$49,MATCH(orders!$D674,products!$A$1:$A$49,0),MATCH(orders!L$1,products!$A$1:$G$1,0))</f>
        <v>8.73</v>
      </c>
      <c r="M674" s="4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hidden="1" x14ac:dyDescent="0.3">
      <c r="A675" s="2" t="s">
        <v>4291</v>
      </c>
      <c r="B675" s="7">
        <v>44118</v>
      </c>
      <c r="C675" s="2" t="s">
        <v>4292</v>
      </c>
      <c r="D675" t="s">
        <v>6140</v>
      </c>
      <c r="E675" s="2">
        <v>6</v>
      </c>
      <c r="F675" s="2" t="str">
        <f>_xlfn.XLOOKUP(C675,customers!$A$1:$A$1001,customers!$B$1:$B$1001,"",0)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6">
        <f>INDEX(products!$A$1:$G$49,MATCH(orders!$D675,products!$A$1:$A$49,0),MATCH(orders!K$1,products!$A$1:$G$1,0))</f>
        <v>1</v>
      </c>
      <c r="L675" s="4">
        <f>INDEX(products!$A$1:$G$49,MATCH(orders!$D675,products!$A$1:$A$49,0),MATCH(orders!L$1,products!$A$1:$G$1,0))</f>
        <v>13.75</v>
      </c>
      <c r="M675" s="4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hidden="1" x14ac:dyDescent="0.3">
      <c r="A676" s="2" t="s">
        <v>4297</v>
      </c>
      <c r="B676" s="7">
        <v>44543</v>
      </c>
      <c r="C676" s="2" t="s">
        <v>4298</v>
      </c>
      <c r="D676" t="s">
        <v>6181</v>
      </c>
      <c r="E676" s="2">
        <v>6</v>
      </c>
      <c r="F676" s="2" t="str">
        <f>_xlfn.XLOOKUP(C676,customers!$A$1:$A$1001,customers!$B$1:$B$1001,"",0)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6">
        <f>INDEX(products!$A$1:$G$49,MATCH(orders!$D676,products!$A$1:$A$49,0),MATCH(orders!K$1,products!$A$1:$G$1,0))</f>
        <v>2.5</v>
      </c>
      <c r="L676" s="4">
        <f>INDEX(products!$A$1:$G$49,MATCH(orders!$D676,products!$A$1:$A$49,0),MATCH(orders!L$1,products!$A$1:$G$1,0))</f>
        <v>29.784999999999997</v>
      </c>
      <c r="M676" s="4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hidden="1" x14ac:dyDescent="0.3">
      <c r="A677" s="2" t="s">
        <v>4303</v>
      </c>
      <c r="B677" s="7">
        <v>44263</v>
      </c>
      <c r="C677" s="2" t="s">
        <v>4304</v>
      </c>
      <c r="D677" t="s">
        <v>6164</v>
      </c>
      <c r="E677" s="2">
        <v>4</v>
      </c>
      <c r="F677" s="2" t="str">
        <f>_xlfn.XLOOKUP(C677,customers!$A$1:$A$1001,customers!$B$1:$B$1001,"",0)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6">
        <f>INDEX(products!$A$1:$G$49,MATCH(orders!$D677,products!$A$1:$A$49,0),MATCH(orders!K$1,products!$A$1:$G$1,0))</f>
        <v>2.5</v>
      </c>
      <c r="L677" s="4">
        <f>INDEX(products!$A$1:$G$49,MATCH(orders!$D677,products!$A$1:$A$49,0),MATCH(orders!L$1,products!$A$1:$G$1,0))</f>
        <v>29.784999999999997</v>
      </c>
      <c r="M677" s="4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hidden="1" x14ac:dyDescent="0.3">
      <c r="A678" s="2" t="s">
        <v>4308</v>
      </c>
      <c r="B678" s="7">
        <v>44217</v>
      </c>
      <c r="C678" s="2" t="s">
        <v>4309</v>
      </c>
      <c r="D678" t="s">
        <v>6160</v>
      </c>
      <c r="E678" s="2">
        <v>5</v>
      </c>
      <c r="F678" s="2" t="str">
        <f>_xlfn.XLOOKUP(C678,customers!$A$1:$A$1001,customers!$B$1:$B$1001,"",0)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6">
        <f>INDEX(products!$A$1:$G$49,MATCH(orders!$D678,products!$A$1:$A$49,0),MATCH(orders!K$1,products!$A$1:$G$1,0))</f>
        <v>0.5</v>
      </c>
      <c r="L678" s="4">
        <f>INDEX(products!$A$1:$G$49,MATCH(orders!$D678,products!$A$1:$A$49,0),MATCH(orders!L$1,products!$A$1:$G$1,0))</f>
        <v>9.51</v>
      </c>
      <c r="M678" s="4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hidden="1" x14ac:dyDescent="0.3">
      <c r="A679" s="2" t="s">
        <v>4313</v>
      </c>
      <c r="B679" s="7">
        <v>44206</v>
      </c>
      <c r="C679" s="2" t="s">
        <v>4314</v>
      </c>
      <c r="D679" t="s">
        <v>6159</v>
      </c>
      <c r="E679" s="2">
        <v>5</v>
      </c>
      <c r="F679" s="2" t="str">
        <f>_xlfn.XLOOKUP(C679,customers!$A$1:$A$1001,customers!$B$1:$B$1001,"",0)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6">
        <f>INDEX(products!$A$1:$G$49,MATCH(orders!$D679,products!$A$1:$A$49,0),MATCH(orders!K$1,products!$A$1:$G$1,0))</f>
        <v>0.5</v>
      </c>
      <c r="L679" s="4">
        <f>INDEX(products!$A$1:$G$49,MATCH(orders!$D679,products!$A$1:$A$49,0),MATCH(orders!L$1,products!$A$1:$G$1,0))</f>
        <v>8.73</v>
      </c>
      <c r="M679" s="4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hidden="1" x14ac:dyDescent="0.3">
      <c r="A680" s="2" t="s">
        <v>4319</v>
      </c>
      <c r="B680" s="7">
        <v>44281</v>
      </c>
      <c r="C680" s="2" t="s">
        <v>4320</v>
      </c>
      <c r="D680" t="s">
        <v>6181</v>
      </c>
      <c r="E680" s="2">
        <v>6</v>
      </c>
      <c r="F680" s="2" t="str">
        <f>_xlfn.XLOOKUP(C680,customers!$A$1:$A$1001,customers!$B$1:$B$1001,"",0)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6">
        <f>INDEX(products!$A$1:$G$49,MATCH(orders!$D680,products!$A$1:$A$49,0),MATCH(orders!K$1,products!$A$1:$G$1,0))</f>
        <v>2.5</v>
      </c>
      <c r="L680" s="4">
        <f>INDEX(products!$A$1:$G$49,MATCH(orders!$D680,products!$A$1:$A$49,0),MATCH(orders!L$1,products!$A$1:$G$1,0))</f>
        <v>29.784999999999997</v>
      </c>
      <c r="M680" s="4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3">
      <c r="A681" s="2" t="s">
        <v>4325</v>
      </c>
      <c r="B681" s="7">
        <v>44645</v>
      </c>
      <c r="C681" s="2" t="s">
        <v>4326</v>
      </c>
      <c r="D681" t="s">
        <v>6141</v>
      </c>
      <c r="E681" s="2">
        <v>1</v>
      </c>
      <c r="F681" s="2" t="str">
        <f>_xlfn.XLOOKUP(C681,customers!$A$1:$A$1001,customers!$B$1:$B$1001,"",0)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6">
        <f>INDEX(products!$A$1:$G$49,MATCH(orders!$D681,products!$A$1:$A$49,0),MATCH(orders!K$1,products!$A$1:$G$1,0))</f>
        <v>2.5</v>
      </c>
      <c r="L681" s="4">
        <f>INDEX(products!$A$1:$G$49,MATCH(orders!$D681,products!$A$1:$A$49,0),MATCH(orders!L$1,products!$A$1:$G$1,0))</f>
        <v>27.484999999999996</v>
      </c>
      <c r="M681" s="4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hidden="1" x14ac:dyDescent="0.3">
      <c r="A682" s="2" t="s">
        <v>4331</v>
      </c>
      <c r="B682" s="7">
        <v>44399</v>
      </c>
      <c r="C682" s="2" t="s">
        <v>4332</v>
      </c>
      <c r="D682" t="s">
        <v>6154</v>
      </c>
      <c r="E682" s="2">
        <v>5</v>
      </c>
      <c r="F682" s="2" t="str">
        <f>_xlfn.XLOOKUP(C682,customers!$A$1:$A$1001,customers!$B$1:$B$1001,"",0)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6">
        <f>INDEX(products!$A$1:$G$49,MATCH(orders!$D682,products!$A$1:$A$49,0),MATCH(orders!K$1,products!$A$1:$G$1,0))</f>
        <v>1</v>
      </c>
      <c r="L682" s="4">
        <f>INDEX(products!$A$1:$G$49,MATCH(orders!$D682,products!$A$1:$A$49,0),MATCH(orders!L$1,products!$A$1:$G$1,0))</f>
        <v>11.25</v>
      </c>
      <c r="M682" s="4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hidden="1" x14ac:dyDescent="0.3">
      <c r="A683" s="2" t="s">
        <v>4336</v>
      </c>
      <c r="B683" s="7">
        <v>44080</v>
      </c>
      <c r="C683" s="2" t="s">
        <v>4337</v>
      </c>
      <c r="D683" t="s">
        <v>6144</v>
      </c>
      <c r="E683" s="2">
        <v>2</v>
      </c>
      <c r="F683" s="2" t="str">
        <f>_xlfn.XLOOKUP(C683,customers!$A$1:$A$1001,customers!$B$1:$B$1001,"",0)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6">
        <f>INDEX(products!$A$1:$G$49,MATCH(orders!$D683,products!$A$1:$A$49,0),MATCH(orders!K$1,products!$A$1:$G$1,0))</f>
        <v>0.2</v>
      </c>
      <c r="L683" s="4">
        <f>INDEX(products!$A$1:$G$49,MATCH(orders!$D683,products!$A$1:$A$49,0),MATCH(orders!L$1,products!$A$1:$G$1,0))</f>
        <v>4.7549999999999999</v>
      </c>
      <c r="M683" s="4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hidden="1" x14ac:dyDescent="0.3">
      <c r="A684" s="2" t="s">
        <v>4342</v>
      </c>
      <c r="B684" s="7">
        <v>43827</v>
      </c>
      <c r="C684" s="2" t="s">
        <v>4343</v>
      </c>
      <c r="D684" t="s">
        <v>6155</v>
      </c>
      <c r="E684" s="2">
        <v>2</v>
      </c>
      <c r="F684" s="2" t="str">
        <f>_xlfn.XLOOKUP(C684,customers!$A$1:$A$1001,customers!$B$1:$B$1001,"",0)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6">
        <f>INDEX(products!$A$1:$G$49,MATCH(orders!$D684,products!$A$1:$A$49,0),MATCH(orders!K$1,products!$A$1:$G$1,0))</f>
        <v>0.2</v>
      </c>
      <c r="L684" s="4">
        <f>INDEX(products!$A$1:$G$49,MATCH(orders!$D684,products!$A$1:$A$49,0),MATCH(orders!L$1,products!$A$1:$G$1,0))</f>
        <v>4.125</v>
      </c>
      <c r="M684" s="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hidden="1" x14ac:dyDescent="0.3">
      <c r="A685" s="2" t="s">
        <v>4348</v>
      </c>
      <c r="B685" s="7">
        <v>43941</v>
      </c>
      <c r="C685" s="2" t="s">
        <v>4349</v>
      </c>
      <c r="D685" t="s">
        <v>6168</v>
      </c>
      <c r="E685" s="2">
        <v>6</v>
      </c>
      <c r="F685" s="2" t="str">
        <f>_xlfn.XLOOKUP(C685,customers!$A$1:$A$1001,customers!$B$1:$B$1001,"",0)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6">
        <f>INDEX(products!$A$1:$G$49,MATCH(orders!$D685,products!$A$1:$A$49,0),MATCH(orders!K$1,products!$A$1:$G$1,0))</f>
        <v>0.5</v>
      </c>
      <c r="L685" s="4">
        <f>INDEX(products!$A$1:$G$49,MATCH(orders!$D685,products!$A$1:$A$49,0),MATCH(orders!L$1,products!$A$1:$G$1,0))</f>
        <v>7.77</v>
      </c>
      <c r="M685" s="4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hidden="1" x14ac:dyDescent="0.3">
      <c r="A686" s="2" t="s">
        <v>4354</v>
      </c>
      <c r="B686" s="7">
        <v>43517</v>
      </c>
      <c r="C686" s="2" t="s">
        <v>4355</v>
      </c>
      <c r="D686" t="s">
        <v>6178</v>
      </c>
      <c r="E686" s="2">
        <v>6</v>
      </c>
      <c r="F686" s="2" t="str">
        <f>_xlfn.XLOOKUP(C686,customers!$A$1:$A$1001,customers!$B$1:$B$1001,"",0)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6">
        <f>INDEX(products!$A$1:$G$49,MATCH(orders!$D686,products!$A$1:$A$49,0),MATCH(orders!K$1,products!$A$1:$G$1,0))</f>
        <v>1</v>
      </c>
      <c r="L686" s="4">
        <f>INDEX(products!$A$1:$G$49,MATCH(orders!$D686,products!$A$1:$A$49,0),MATCH(orders!L$1,products!$A$1:$G$1,0))</f>
        <v>11.95</v>
      </c>
      <c r="M686" s="4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3">
      <c r="A687" s="2" t="s">
        <v>4359</v>
      </c>
      <c r="B687" s="7">
        <v>44637</v>
      </c>
      <c r="C687" s="2" t="s">
        <v>4360</v>
      </c>
      <c r="D687" t="s">
        <v>6163</v>
      </c>
      <c r="E687" s="2">
        <v>2</v>
      </c>
      <c r="F687" s="2" t="str">
        <f>_xlfn.XLOOKUP(C687,customers!$A$1:$A$1001,customers!$B$1:$B$1001,"",0)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6">
        <f>INDEX(products!$A$1:$G$49,MATCH(orders!$D687,products!$A$1:$A$49,0),MATCH(orders!K$1,products!$A$1:$G$1,0))</f>
        <v>2.5</v>
      </c>
      <c r="L687" s="4">
        <f>INDEX(products!$A$1:$G$49,MATCH(orders!$D687,products!$A$1:$A$49,0),MATCH(orders!L$1,products!$A$1:$G$1,0))</f>
        <v>36.454999999999998</v>
      </c>
      <c r="M687" s="4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hidden="1" x14ac:dyDescent="0.3">
      <c r="A688" s="2" t="s">
        <v>4365</v>
      </c>
      <c r="B688" s="7">
        <v>44330</v>
      </c>
      <c r="C688" s="2" t="s">
        <v>4366</v>
      </c>
      <c r="D688" t="s">
        <v>6162</v>
      </c>
      <c r="E688" s="2">
        <v>3</v>
      </c>
      <c r="F688" s="2" t="str">
        <f>_xlfn.XLOOKUP(C688,customers!$A$1:$A$1001,customers!$B$1:$B$1001,"",0)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6">
        <f>INDEX(products!$A$1:$G$49,MATCH(orders!$D688,products!$A$1:$A$49,0),MATCH(orders!K$1,products!$A$1:$G$1,0))</f>
        <v>0.2</v>
      </c>
      <c r="L688" s="4">
        <f>INDEX(products!$A$1:$G$49,MATCH(orders!$D688,products!$A$1:$A$49,0),MATCH(orders!L$1,products!$A$1:$G$1,0))</f>
        <v>2.6849999999999996</v>
      </c>
      <c r="M688" s="4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hidden="1" x14ac:dyDescent="0.3">
      <c r="A689" s="2" t="s">
        <v>4371</v>
      </c>
      <c r="B689" s="7">
        <v>43471</v>
      </c>
      <c r="C689" s="2" t="s">
        <v>4372</v>
      </c>
      <c r="D689" t="s">
        <v>6138</v>
      </c>
      <c r="E689" s="2">
        <v>2</v>
      </c>
      <c r="F689" s="2" t="str">
        <f>_xlfn.XLOOKUP(C689,customers!$A$1:$A$1001,customers!$B$1:$B$1001,"",0)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6">
        <f>INDEX(products!$A$1:$G$49,MATCH(orders!$D689,products!$A$1:$A$49,0),MATCH(orders!K$1,products!$A$1:$G$1,0))</f>
        <v>0.5</v>
      </c>
      <c r="L689" s="4">
        <f>INDEX(products!$A$1:$G$49,MATCH(orders!$D689,products!$A$1:$A$49,0),MATCH(orders!L$1,products!$A$1:$G$1,0))</f>
        <v>8.25</v>
      </c>
      <c r="M689" s="4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hidden="1" x14ac:dyDescent="0.3">
      <c r="A690" s="2" t="s">
        <v>4377</v>
      </c>
      <c r="B690" s="7">
        <v>43579</v>
      </c>
      <c r="C690" s="2" t="s">
        <v>4378</v>
      </c>
      <c r="D690" t="s">
        <v>6139</v>
      </c>
      <c r="E690" s="2">
        <v>5</v>
      </c>
      <c r="F690" s="2" t="str">
        <f>_xlfn.XLOOKUP(C690,customers!$A$1:$A$1001,customers!$B$1:$B$1001,"",0)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6">
        <f>INDEX(products!$A$1:$G$49,MATCH(orders!$D690,products!$A$1:$A$49,0),MATCH(orders!K$1,products!$A$1:$G$1,0))</f>
        <v>1</v>
      </c>
      <c r="L690" s="4">
        <f>INDEX(products!$A$1:$G$49,MATCH(orders!$D690,products!$A$1:$A$49,0),MATCH(orders!L$1,products!$A$1:$G$1,0))</f>
        <v>12.95</v>
      </c>
      <c r="M690" s="4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hidden="1" x14ac:dyDescent="0.3">
      <c r="A691" s="2" t="s">
        <v>4383</v>
      </c>
      <c r="B691" s="7">
        <v>44346</v>
      </c>
      <c r="C691" s="2" t="s">
        <v>4384</v>
      </c>
      <c r="D691" t="s">
        <v>6156</v>
      </c>
      <c r="E691" s="2">
        <v>5</v>
      </c>
      <c r="F691" s="2" t="str">
        <f>_xlfn.XLOOKUP(C691,customers!$A$1:$A$1001,customers!$B$1:$B$1001,"",0)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6">
        <f>INDEX(products!$A$1:$G$49,MATCH(orders!$D691,products!$A$1:$A$49,0),MATCH(orders!K$1,products!$A$1:$G$1,0))</f>
        <v>0.5</v>
      </c>
      <c r="L691" s="4">
        <f>INDEX(products!$A$1:$G$49,MATCH(orders!$D691,products!$A$1:$A$49,0),MATCH(orders!L$1,products!$A$1:$G$1,0))</f>
        <v>6.75</v>
      </c>
      <c r="M691" s="4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3">
      <c r="A692" s="2" t="s">
        <v>4389</v>
      </c>
      <c r="B692" s="7">
        <v>44754</v>
      </c>
      <c r="C692" s="2" t="s">
        <v>4390</v>
      </c>
      <c r="D692" t="s">
        <v>6164</v>
      </c>
      <c r="E692" s="2">
        <v>6</v>
      </c>
      <c r="F692" s="2" t="str">
        <f>_xlfn.XLOOKUP(C692,customers!$A$1:$A$1001,customers!$B$1:$B$1001,"",0)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6">
        <f>INDEX(products!$A$1:$G$49,MATCH(orders!$D692,products!$A$1:$A$49,0),MATCH(orders!K$1,products!$A$1:$G$1,0))</f>
        <v>2.5</v>
      </c>
      <c r="L692" s="4">
        <f>INDEX(products!$A$1:$G$49,MATCH(orders!$D692,products!$A$1:$A$49,0),MATCH(orders!L$1,products!$A$1:$G$1,0))</f>
        <v>29.784999999999997</v>
      </c>
      <c r="M692" s="4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hidden="1" x14ac:dyDescent="0.3">
      <c r="A693" s="2" t="s">
        <v>4393</v>
      </c>
      <c r="B693" s="7">
        <v>44227</v>
      </c>
      <c r="C693" s="2" t="s">
        <v>4434</v>
      </c>
      <c r="D693" t="s">
        <v>6154</v>
      </c>
      <c r="E693" s="2">
        <v>2</v>
      </c>
      <c r="F693" s="2" t="str">
        <f>_xlfn.XLOOKUP(C693,customers!$A$1:$A$1001,customers!$B$1:$B$1001,"",0)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6">
        <f>INDEX(products!$A$1:$G$49,MATCH(orders!$D693,products!$A$1:$A$49,0),MATCH(orders!K$1,products!$A$1:$G$1,0))</f>
        <v>1</v>
      </c>
      <c r="L693" s="4">
        <f>INDEX(products!$A$1:$G$49,MATCH(orders!$D693,products!$A$1:$A$49,0),MATCH(orders!L$1,products!$A$1:$G$1,0))</f>
        <v>11.25</v>
      </c>
      <c r="M693" s="4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hidden="1" x14ac:dyDescent="0.3">
      <c r="A694" s="2" t="s">
        <v>4399</v>
      </c>
      <c r="B694" s="7">
        <v>43720</v>
      </c>
      <c r="C694" s="2" t="s">
        <v>4400</v>
      </c>
      <c r="D694" t="s">
        <v>6142</v>
      </c>
      <c r="E694" s="2">
        <v>1</v>
      </c>
      <c r="F694" s="2" t="str">
        <f>_xlfn.XLOOKUP(C694,customers!$A$1:$A$1001,customers!$B$1:$B$1001,"",0)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6">
        <f>INDEX(products!$A$1:$G$49,MATCH(orders!$D694,products!$A$1:$A$49,0),MATCH(orders!K$1,products!$A$1:$G$1,0))</f>
        <v>1</v>
      </c>
      <c r="L694" s="4">
        <f>INDEX(products!$A$1:$G$49,MATCH(orders!$D694,products!$A$1:$A$49,0),MATCH(orders!L$1,products!$A$1:$G$1,0))</f>
        <v>12.95</v>
      </c>
      <c r="M694" s="4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hidden="1" x14ac:dyDescent="0.3">
      <c r="A695" s="2" t="s">
        <v>4405</v>
      </c>
      <c r="B695" s="7">
        <v>44012</v>
      </c>
      <c r="C695" s="2" t="s">
        <v>4406</v>
      </c>
      <c r="D695" t="s">
        <v>6174</v>
      </c>
      <c r="E695" s="2">
        <v>2</v>
      </c>
      <c r="F695" s="2" t="str">
        <f>_xlfn.XLOOKUP(C695,customers!$A$1:$A$1001,customers!$B$1:$B$1001,"",0)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6">
        <f>INDEX(products!$A$1:$G$49,MATCH(orders!$D695,products!$A$1:$A$49,0),MATCH(orders!K$1,products!$A$1:$G$1,0))</f>
        <v>2.5</v>
      </c>
      <c r="L695" s="4">
        <f>INDEX(products!$A$1:$G$49,MATCH(orders!$D695,products!$A$1:$A$49,0),MATCH(orders!L$1,products!$A$1:$G$1,0))</f>
        <v>25.874999999999996</v>
      </c>
      <c r="M695" s="4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hidden="1" x14ac:dyDescent="0.3">
      <c r="A696" s="2" t="s">
        <v>4411</v>
      </c>
      <c r="B696" s="7">
        <v>43915</v>
      </c>
      <c r="C696" s="2" t="s">
        <v>4412</v>
      </c>
      <c r="D696" t="s">
        <v>6143</v>
      </c>
      <c r="E696" s="2">
        <v>5</v>
      </c>
      <c r="F696" s="2" t="str">
        <f>_xlfn.XLOOKUP(C696,customers!$A$1:$A$1001,customers!$B$1:$B$1001,"",0)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6">
        <f>INDEX(products!$A$1:$G$49,MATCH(orders!$D696,products!$A$1:$A$49,0),MATCH(orders!K$1,products!$A$1:$G$1,0))</f>
        <v>0.5</v>
      </c>
      <c r="L696" s="4">
        <f>INDEX(products!$A$1:$G$49,MATCH(orders!$D696,products!$A$1:$A$49,0),MATCH(orders!L$1,products!$A$1:$G$1,0))</f>
        <v>7.29</v>
      </c>
      <c r="M696" s="4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hidden="1" x14ac:dyDescent="0.3">
      <c r="A697" s="2" t="s">
        <v>4417</v>
      </c>
      <c r="B697" s="7">
        <v>44300</v>
      </c>
      <c r="C697" s="2" t="s">
        <v>4418</v>
      </c>
      <c r="D697" t="s">
        <v>6163</v>
      </c>
      <c r="E697" s="2">
        <v>5</v>
      </c>
      <c r="F697" s="2" t="str">
        <f>_xlfn.XLOOKUP(C697,customers!$A$1:$A$1001,customers!$B$1:$B$1001,"",0)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6">
        <f>INDEX(products!$A$1:$G$49,MATCH(orders!$D697,products!$A$1:$A$49,0),MATCH(orders!K$1,products!$A$1:$G$1,0))</f>
        <v>2.5</v>
      </c>
      <c r="L697" s="4">
        <f>INDEX(products!$A$1:$G$49,MATCH(orders!$D697,products!$A$1:$A$49,0),MATCH(orders!L$1,products!$A$1:$G$1,0))</f>
        <v>36.454999999999998</v>
      </c>
      <c r="M697" s="4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hidden="1" x14ac:dyDescent="0.3">
      <c r="A698" s="2" t="s">
        <v>4423</v>
      </c>
      <c r="B698" s="7">
        <v>43693</v>
      </c>
      <c r="C698" s="2" t="s">
        <v>4424</v>
      </c>
      <c r="D698" t="s">
        <v>6168</v>
      </c>
      <c r="E698" s="2">
        <v>4</v>
      </c>
      <c r="F698" s="2" t="str">
        <f>_xlfn.XLOOKUP(C698,customers!$A$1:$A$1001,customers!$B$1:$B$1001,"",0)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6">
        <f>INDEX(products!$A$1:$G$49,MATCH(orders!$D698,products!$A$1:$A$49,0),MATCH(orders!K$1,products!$A$1:$G$1,0))</f>
        <v>0.5</v>
      </c>
      <c r="L698" s="4">
        <f>INDEX(products!$A$1:$G$49,MATCH(orders!$D698,products!$A$1:$A$49,0),MATCH(orders!L$1,products!$A$1:$G$1,0))</f>
        <v>7.77</v>
      </c>
      <c r="M698" s="4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hidden="1" x14ac:dyDescent="0.3">
      <c r="A699" s="2" t="s">
        <v>4429</v>
      </c>
      <c r="B699" s="7">
        <v>44547</v>
      </c>
      <c r="C699" s="2" t="s">
        <v>4430</v>
      </c>
      <c r="D699" t="s">
        <v>6156</v>
      </c>
      <c r="E699" s="2">
        <v>3</v>
      </c>
      <c r="F699" s="2" t="str">
        <f>_xlfn.XLOOKUP(C699,customers!$A$1:$A$1001,customers!$B$1:$B$1001,"",0)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6">
        <f>INDEX(products!$A$1:$G$49,MATCH(orders!$D699,products!$A$1:$A$49,0),MATCH(orders!K$1,products!$A$1:$G$1,0))</f>
        <v>0.5</v>
      </c>
      <c r="L699" s="4">
        <f>INDEX(products!$A$1:$G$49,MATCH(orders!$D699,products!$A$1:$A$49,0),MATCH(orders!L$1,products!$A$1:$G$1,0))</f>
        <v>6.75</v>
      </c>
      <c r="M699" s="4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hidden="1" x14ac:dyDescent="0.3">
      <c r="A700" s="2" t="s">
        <v>4433</v>
      </c>
      <c r="B700" s="7">
        <v>43830</v>
      </c>
      <c r="C700" s="2" t="s">
        <v>4434</v>
      </c>
      <c r="D700" t="s">
        <v>6142</v>
      </c>
      <c r="E700" s="2">
        <v>2</v>
      </c>
      <c r="F700" s="2" t="str">
        <f>_xlfn.XLOOKUP(C700,customers!$A$1:$A$1001,customers!$B$1:$B$1001,"",0)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6">
        <f>INDEX(products!$A$1:$G$49,MATCH(orders!$D700,products!$A$1:$A$49,0),MATCH(orders!K$1,products!$A$1:$G$1,0))</f>
        <v>1</v>
      </c>
      <c r="L700" s="4">
        <f>INDEX(products!$A$1:$G$49,MATCH(orders!$D700,products!$A$1:$A$49,0),MATCH(orders!L$1,products!$A$1:$G$1,0))</f>
        <v>12.95</v>
      </c>
      <c r="M700" s="4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hidden="1" x14ac:dyDescent="0.3">
      <c r="A701" s="2" t="s">
        <v>4439</v>
      </c>
      <c r="B701" s="7">
        <v>44298</v>
      </c>
      <c r="C701" s="2" t="s">
        <v>4440</v>
      </c>
      <c r="D701" t="s">
        <v>6157</v>
      </c>
      <c r="E701" s="2">
        <v>4</v>
      </c>
      <c r="F701" s="2" t="str">
        <f>_xlfn.XLOOKUP(C701,customers!$A$1:$A$1001,customers!$B$1:$B$1001,"",0)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6">
        <f>INDEX(products!$A$1:$G$49,MATCH(orders!$D701,products!$A$1:$A$49,0),MATCH(orders!K$1,products!$A$1:$G$1,0))</f>
        <v>0.5</v>
      </c>
      <c r="L701" s="4">
        <f>INDEX(products!$A$1:$G$49,MATCH(orders!$D701,products!$A$1:$A$49,0),MATCH(orders!L$1,products!$A$1:$G$1,0))</f>
        <v>5.97</v>
      </c>
      <c r="M701" s="4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hidden="1" x14ac:dyDescent="0.3">
      <c r="A702" s="2" t="s">
        <v>4445</v>
      </c>
      <c r="B702" s="7">
        <v>43736</v>
      </c>
      <c r="C702" s="2" t="s">
        <v>4446</v>
      </c>
      <c r="D702" t="s">
        <v>6160</v>
      </c>
      <c r="E702" s="2">
        <v>2</v>
      </c>
      <c r="F702" s="2" t="str">
        <f>_xlfn.XLOOKUP(C702,customers!$A$1:$A$1001,customers!$B$1:$B$1001,"",0)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6">
        <f>INDEX(products!$A$1:$G$49,MATCH(orders!$D702,products!$A$1:$A$49,0),MATCH(orders!K$1,products!$A$1:$G$1,0))</f>
        <v>0.5</v>
      </c>
      <c r="L702" s="4">
        <f>INDEX(products!$A$1:$G$49,MATCH(orders!$D702,products!$A$1:$A$49,0),MATCH(orders!L$1,products!$A$1:$G$1,0))</f>
        <v>9.51</v>
      </c>
      <c r="M702" s="4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3">
      <c r="A703" s="2" t="s">
        <v>4450</v>
      </c>
      <c r="B703" s="7">
        <v>44727</v>
      </c>
      <c r="C703" s="2" t="s">
        <v>4451</v>
      </c>
      <c r="D703" t="s">
        <v>6157</v>
      </c>
      <c r="E703" s="2">
        <v>5</v>
      </c>
      <c r="F703" s="2" t="str">
        <f>_xlfn.XLOOKUP(C703,customers!$A$1:$A$1001,customers!$B$1:$B$1001,"",0)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6">
        <f>INDEX(products!$A$1:$G$49,MATCH(orders!$D703,products!$A$1:$A$49,0),MATCH(orders!K$1,products!$A$1:$G$1,0))</f>
        <v>0.5</v>
      </c>
      <c r="L703" s="4">
        <f>INDEX(products!$A$1:$G$49,MATCH(orders!$D703,products!$A$1:$A$49,0),MATCH(orders!L$1,products!$A$1:$G$1,0))</f>
        <v>5.97</v>
      </c>
      <c r="M703" s="4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hidden="1" x14ac:dyDescent="0.3">
      <c r="A704" s="2" t="s">
        <v>4456</v>
      </c>
      <c r="B704" s="7">
        <v>43661</v>
      </c>
      <c r="C704" s="2" t="s">
        <v>4457</v>
      </c>
      <c r="D704" t="s">
        <v>6179</v>
      </c>
      <c r="E704" s="2">
        <v>1</v>
      </c>
      <c r="F704" s="2" t="str">
        <f>_xlfn.XLOOKUP(C704,customers!$A$1:$A$1001,customers!$B$1:$B$1001,"",0)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6">
        <f>INDEX(products!$A$1:$G$49,MATCH(orders!$D704,products!$A$1:$A$49,0),MATCH(orders!K$1,products!$A$1:$G$1,0))</f>
        <v>0.5</v>
      </c>
      <c r="L704" s="4">
        <f>INDEX(products!$A$1:$G$49,MATCH(orders!$D704,products!$A$1:$A$49,0),MATCH(orders!L$1,products!$A$1:$G$1,0))</f>
        <v>7.77</v>
      </c>
      <c r="M704" s="4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hidden="1" x14ac:dyDescent="0.3">
      <c r="A705" s="2" t="s">
        <v>4461</v>
      </c>
      <c r="B705" s="7">
        <v>43506</v>
      </c>
      <c r="C705" s="2" t="s">
        <v>4462</v>
      </c>
      <c r="D705" t="s">
        <v>6164</v>
      </c>
      <c r="E705" s="2">
        <v>4</v>
      </c>
      <c r="F705" s="2" t="str">
        <f>_xlfn.XLOOKUP(C705,customers!$A$1:$A$1001,customers!$B$1:$B$1001,"",0)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6">
        <f>INDEX(products!$A$1:$G$49,MATCH(orders!$D705,products!$A$1:$A$49,0),MATCH(orders!K$1,products!$A$1:$G$1,0))</f>
        <v>2.5</v>
      </c>
      <c r="L705" s="4">
        <f>INDEX(products!$A$1:$G$49,MATCH(orders!$D705,products!$A$1:$A$49,0),MATCH(orders!L$1,products!$A$1:$G$1,0))</f>
        <v>29.784999999999997</v>
      </c>
      <c r="M705" s="4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3">
      <c r="A706" s="2" t="s">
        <v>4466</v>
      </c>
      <c r="B706" s="7">
        <v>44716</v>
      </c>
      <c r="C706" s="2" t="s">
        <v>4467</v>
      </c>
      <c r="D706" t="s">
        <v>6152</v>
      </c>
      <c r="E706" s="2">
        <v>6</v>
      </c>
      <c r="F706" s="2" t="str">
        <f>_xlfn.XLOOKUP(C706,customers!$A$1:$A$1001,customers!$B$1:$B$1001,"",0)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6">
        <f>INDEX(products!$A$1:$G$49,MATCH(orders!$D706,products!$A$1:$A$49,0),MATCH(orders!K$1,products!$A$1:$G$1,0))</f>
        <v>0.2</v>
      </c>
      <c r="L706" s="4">
        <f>INDEX(products!$A$1:$G$49,MATCH(orders!$D706,products!$A$1:$A$49,0),MATCH(orders!L$1,products!$A$1:$G$1,0))</f>
        <v>3.645</v>
      </c>
      <c r="M706" s="4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hidden="1" x14ac:dyDescent="0.3">
      <c r="A707" s="2" t="s">
        <v>4471</v>
      </c>
      <c r="B707" s="7">
        <v>44114</v>
      </c>
      <c r="C707" s="2" t="s">
        <v>4472</v>
      </c>
      <c r="D707" t="s">
        <v>6175</v>
      </c>
      <c r="E707" s="2">
        <v>2</v>
      </c>
      <c r="F707" s="2" t="str">
        <f>_xlfn.XLOOKUP(C707,customers!$A$1:$A$1001,customers!$B$1:$B$1001,"",0)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6">
        <f>INDEX(products!$A$1:$G$49,MATCH(orders!$D707,products!$A$1:$A$49,0),MATCH(orders!K$1,products!$A$1:$G$1,0))</f>
        <v>0.5</v>
      </c>
      <c r="L707" s="4">
        <f>INDEX(products!$A$1:$G$49,MATCH(orders!$D707,products!$A$1:$A$49,0),MATCH(orders!L$1,products!$A$1:$G$1,0))</f>
        <v>8.91</v>
      </c>
      <c r="M707" s="4">
        <f t="shared" ref="M707:M770" si="33">E707*L707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hidden="1" x14ac:dyDescent="0.3">
      <c r="A708" s="2" t="s">
        <v>4477</v>
      </c>
      <c r="B708" s="7">
        <v>44353</v>
      </c>
      <c r="C708" s="2" t="s">
        <v>4478</v>
      </c>
      <c r="D708" t="s">
        <v>6155</v>
      </c>
      <c r="E708" s="2">
        <v>3</v>
      </c>
      <c r="F708" s="2" t="str">
        <f>_xlfn.XLOOKUP(C708,customers!$A$1:$A$1001,customers!$B$1:$B$1001,"",0)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6">
        <f>INDEX(products!$A$1:$G$49,MATCH(orders!$D708,products!$A$1:$A$49,0),MATCH(orders!K$1,products!$A$1:$G$1,0))</f>
        <v>0.2</v>
      </c>
      <c r="L708" s="4">
        <f>INDEX(products!$A$1:$G$49,MATCH(orders!$D708,products!$A$1:$A$49,0),MATCH(orders!L$1,products!$A$1:$G$1,0))</f>
        <v>4.125</v>
      </c>
      <c r="M708" s="4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hidden="1" x14ac:dyDescent="0.3">
      <c r="A709" s="2" t="s">
        <v>4483</v>
      </c>
      <c r="B709" s="7">
        <v>43540</v>
      </c>
      <c r="C709" s="2" t="s">
        <v>4484</v>
      </c>
      <c r="D709" t="s">
        <v>6142</v>
      </c>
      <c r="E709" s="2">
        <v>2</v>
      </c>
      <c r="F709" s="2" t="str">
        <f>_xlfn.XLOOKUP(C709,customers!$A$1:$A$1001,customers!$B$1:$B$1001,"",0)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6">
        <f>INDEX(products!$A$1:$G$49,MATCH(orders!$D709,products!$A$1:$A$49,0),MATCH(orders!K$1,products!$A$1:$G$1,0))</f>
        <v>1</v>
      </c>
      <c r="L709" s="4">
        <f>INDEX(products!$A$1:$G$49,MATCH(orders!$D709,products!$A$1:$A$49,0),MATCH(orders!L$1,products!$A$1:$G$1,0))</f>
        <v>12.95</v>
      </c>
      <c r="M709" s="4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hidden="1" x14ac:dyDescent="0.3">
      <c r="A710" s="2" t="s">
        <v>4488</v>
      </c>
      <c r="B710" s="7">
        <v>43804</v>
      </c>
      <c r="C710" s="2" t="s">
        <v>4489</v>
      </c>
      <c r="D710" t="s">
        <v>6156</v>
      </c>
      <c r="E710" s="2">
        <v>2</v>
      </c>
      <c r="F710" s="2" t="str">
        <f>_xlfn.XLOOKUP(C710,customers!$A$1:$A$1001,customers!$B$1:$B$1001,"",0)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6">
        <f>INDEX(products!$A$1:$G$49,MATCH(orders!$D710,products!$A$1:$A$49,0),MATCH(orders!K$1,products!$A$1:$G$1,0))</f>
        <v>0.5</v>
      </c>
      <c r="L710" s="4">
        <f>INDEX(products!$A$1:$G$49,MATCH(orders!$D710,products!$A$1:$A$49,0),MATCH(orders!L$1,products!$A$1:$G$1,0))</f>
        <v>6.75</v>
      </c>
      <c r="M710" s="4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hidden="1" x14ac:dyDescent="0.3">
      <c r="A711" s="2" t="s">
        <v>4494</v>
      </c>
      <c r="B711" s="7">
        <v>43485</v>
      </c>
      <c r="C711" s="2" t="s">
        <v>4495</v>
      </c>
      <c r="D711" t="s">
        <v>6175</v>
      </c>
      <c r="E711" s="2">
        <v>2</v>
      </c>
      <c r="F711" s="2" t="str">
        <f>_xlfn.XLOOKUP(C711,customers!$A$1:$A$1001,customers!$B$1:$B$1001,"",0)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6">
        <f>INDEX(products!$A$1:$G$49,MATCH(orders!$D711,products!$A$1:$A$49,0),MATCH(orders!K$1,products!$A$1:$G$1,0))</f>
        <v>0.5</v>
      </c>
      <c r="L711" s="4">
        <f>INDEX(products!$A$1:$G$49,MATCH(orders!$D711,products!$A$1:$A$49,0),MATCH(orders!L$1,products!$A$1:$G$1,0))</f>
        <v>8.91</v>
      </c>
      <c r="M711" s="4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3">
      <c r="A712" s="2" t="s">
        <v>4499</v>
      </c>
      <c r="B712" s="7">
        <v>44655</v>
      </c>
      <c r="C712" s="2" t="s">
        <v>4500</v>
      </c>
      <c r="D712" t="s">
        <v>6138</v>
      </c>
      <c r="E712" s="2">
        <v>3</v>
      </c>
      <c r="F712" s="2" t="str">
        <f>_xlfn.XLOOKUP(C712,customers!$A$1:$A$1001,customers!$B$1:$B$1001,"",0)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6">
        <f>INDEX(products!$A$1:$G$49,MATCH(orders!$D712,products!$A$1:$A$49,0),MATCH(orders!K$1,products!$A$1:$G$1,0))</f>
        <v>0.5</v>
      </c>
      <c r="L712" s="4">
        <f>INDEX(products!$A$1:$G$49,MATCH(orders!$D712,products!$A$1:$A$49,0),MATCH(orders!L$1,products!$A$1:$G$1,0))</f>
        <v>8.25</v>
      </c>
      <c r="M712" s="4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3">
      <c r="A713" s="2" t="s">
        <v>4505</v>
      </c>
      <c r="B713" s="7">
        <v>44600</v>
      </c>
      <c r="C713" s="2" t="s">
        <v>4506</v>
      </c>
      <c r="D713" t="s">
        <v>6173</v>
      </c>
      <c r="E713" s="2">
        <v>6</v>
      </c>
      <c r="F713" s="2" t="str">
        <f>_xlfn.XLOOKUP(C713,customers!$A$1:$A$1001,customers!$B$1:$B$1001,"",0)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6">
        <f>INDEX(products!$A$1:$G$49,MATCH(orders!$D713,products!$A$1:$A$49,0),MATCH(orders!K$1,products!$A$1:$G$1,0))</f>
        <v>0.2</v>
      </c>
      <c r="L713" s="4">
        <f>INDEX(products!$A$1:$G$49,MATCH(orders!$D713,products!$A$1:$A$49,0),MATCH(orders!L$1,products!$A$1:$G$1,0))</f>
        <v>2.9849999999999999</v>
      </c>
      <c r="M713" s="4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hidden="1" x14ac:dyDescent="0.3">
      <c r="A714" s="2" t="s">
        <v>4512</v>
      </c>
      <c r="B714" s="7">
        <v>43646</v>
      </c>
      <c r="C714" s="2" t="s">
        <v>4513</v>
      </c>
      <c r="D714" t="s">
        <v>6138</v>
      </c>
      <c r="E714" s="2">
        <v>2</v>
      </c>
      <c r="F714" s="2" t="str">
        <f>_xlfn.XLOOKUP(C714,customers!$A$1:$A$1001,customers!$B$1:$B$1001,"",0)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6">
        <f>INDEX(products!$A$1:$G$49,MATCH(orders!$D714,products!$A$1:$A$49,0),MATCH(orders!K$1,products!$A$1:$G$1,0))</f>
        <v>0.5</v>
      </c>
      <c r="L714" s="4">
        <f>INDEX(products!$A$1:$G$49,MATCH(orders!$D714,products!$A$1:$A$49,0),MATCH(orders!L$1,products!$A$1:$G$1,0))</f>
        <v>8.25</v>
      </c>
      <c r="M714" s="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hidden="1" x14ac:dyDescent="0.3">
      <c r="A715" s="2" t="s">
        <v>4516</v>
      </c>
      <c r="B715" s="7">
        <v>43960</v>
      </c>
      <c r="C715" s="2" t="s">
        <v>4517</v>
      </c>
      <c r="D715" t="s">
        <v>6173</v>
      </c>
      <c r="E715" s="2">
        <v>1</v>
      </c>
      <c r="F715" s="2" t="str">
        <f>_xlfn.XLOOKUP(C715,customers!$A$1:$A$1001,customers!$B$1:$B$1001,"",0)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6">
        <f>INDEX(products!$A$1:$G$49,MATCH(orders!$D715,products!$A$1:$A$49,0),MATCH(orders!K$1,products!$A$1:$G$1,0))</f>
        <v>0.2</v>
      </c>
      <c r="L715" s="4">
        <f>INDEX(products!$A$1:$G$49,MATCH(orders!$D715,products!$A$1:$A$49,0),MATCH(orders!L$1,products!$A$1:$G$1,0))</f>
        <v>2.9849999999999999</v>
      </c>
      <c r="M715" s="4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hidden="1" x14ac:dyDescent="0.3">
      <c r="A716" s="2" t="s">
        <v>4522</v>
      </c>
      <c r="B716" s="7">
        <v>44358</v>
      </c>
      <c r="C716" s="2" t="s">
        <v>4523</v>
      </c>
      <c r="D716" t="s">
        <v>6152</v>
      </c>
      <c r="E716" s="2">
        <v>4</v>
      </c>
      <c r="F716" s="2" t="str">
        <f>_xlfn.XLOOKUP(C716,customers!$A$1:$A$1001,customers!$B$1:$B$1001,"",0)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6">
        <f>INDEX(products!$A$1:$G$49,MATCH(orders!$D716,products!$A$1:$A$49,0),MATCH(orders!K$1,products!$A$1:$G$1,0))</f>
        <v>0.2</v>
      </c>
      <c r="L716" s="4">
        <f>INDEX(products!$A$1:$G$49,MATCH(orders!$D716,products!$A$1:$A$49,0),MATCH(orders!L$1,products!$A$1:$G$1,0))</f>
        <v>3.645</v>
      </c>
      <c r="M716" s="4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hidden="1" x14ac:dyDescent="0.3">
      <c r="A717" s="2" t="s">
        <v>4528</v>
      </c>
      <c r="B717" s="7">
        <v>44504</v>
      </c>
      <c r="C717" s="2" t="s">
        <v>4529</v>
      </c>
      <c r="D717" t="s">
        <v>6170</v>
      </c>
      <c r="E717" s="2">
        <v>6</v>
      </c>
      <c r="F717" s="2" t="str">
        <f>_xlfn.XLOOKUP(C717,customers!$A$1:$A$1001,customers!$B$1:$B$1001,"",0)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6">
        <f>INDEX(products!$A$1:$G$49,MATCH(orders!$D717,products!$A$1:$A$49,0),MATCH(orders!K$1,products!$A$1:$G$1,0))</f>
        <v>1</v>
      </c>
      <c r="L717" s="4">
        <f>INDEX(products!$A$1:$G$49,MATCH(orders!$D717,products!$A$1:$A$49,0),MATCH(orders!L$1,products!$A$1:$G$1,0))</f>
        <v>14.85</v>
      </c>
      <c r="M717" s="4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3">
      <c r="A718" s="2" t="s">
        <v>4533</v>
      </c>
      <c r="B718" s="7">
        <v>44612</v>
      </c>
      <c r="C718" s="2" t="s">
        <v>4434</v>
      </c>
      <c r="D718" t="s">
        <v>6178</v>
      </c>
      <c r="E718" s="2">
        <v>3</v>
      </c>
      <c r="F718" s="2" t="str">
        <f>_xlfn.XLOOKUP(C718,customers!$A$1:$A$1001,customers!$B$1:$B$1001,"",0)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6">
        <f>INDEX(products!$A$1:$G$49,MATCH(orders!$D718,products!$A$1:$A$49,0),MATCH(orders!K$1,products!$A$1:$G$1,0))</f>
        <v>1</v>
      </c>
      <c r="L718" s="4">
        <f>INDEX(products!$A$1:$G$49,MATCH(orders!$D718,products!$A$1:$A$49,0),MATCH(orders!L$1,products!$A$1:$G$1,0))</f>
        <v>11.95</v>
      </c>
      <c r="M718" s="4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hidden="1" x14ac:dyDescent="0.3">
      <c r="A719" s="2" t="s">
        <v>4539</v>
      </c>
      <c r="B719" s="7">
        <v>43649</v>
      </c>
      <c r="C719" s="2" t="s">
        <v>4540</v>
      </c>
      <c r="D719" t="s">
        <v>6167</v>
      </c>
      <c r="E719" s="2">
        <v>3</v>
      </c>
      <c r="F719" s="2" t="str">
        <f>_xlfn.XLOOKUP(C719,customers!$A$1:$A$1001,customers!$B$1:$B$1001,"",0)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6">
        <f>INDEX(products!$A$1:$G$49,MATCH(orders!$D719,products!$A$1:$A$49,0),MATCH(orders!K$1,products!$A$1:$G$1,0))</f>
        <v>2.5</v>
      </c>
      <c r="L719" s="4">
        <f>INDEX(products!$A$1:$G$49,MATCH(orders!$D719,products!$A$1:$A$49,0),MATCH(orders!L$1,products!$A$1:$G$1,0))</f>
        <v>22.884999999999998</v>
      </c>
      <c r="M719" s="4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hidden="1" x14ac:dyDescent="0.3">
      <c r="A720" s="2" t="s">
        <v>4545</v>
      </c>
      <c r="B720" s="7">
        <v>44348</v>
      </c>
      <c r="C720" s="2" t="s">
        <v>4546</v>
      </c>
      <c r="D720" t="s">
        <v>6142</v>
      </c>
      <c r="E720" s="2">
        <v>3</v>
      </c>
      <c r="F720" s="2" t="str">
        <f>_xlfn.XLOOKUP(C720,customers!$A$1:$A$1001,customers!$B$1:$B$1001,"",0)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6">
        <f>INDEX(products!$A$1:$G$49,MATCH(orders!$D720,products!$A$1:$A$49,0),MATCH(orders!K$1,products!$A$1:$G$1,0))</f>
        <v>1</v>
      </c>
      <c r="L720" s="4">
        <f>INDEX(products!$A$1:$G$49,MATCH(orders!$D720,products!$A$1:$A$49,0),MATCH(orders!L$1,products!$A$1:$G$1,0))</f>
        <v>12.95</v>
      </c>
      <c r="M720" s="4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hidden="1" x14ac:dyDescent="0.3">
      <c r="A721" s="2" t="s">
        <v>4550</v>
      </c>
      <c r="B721" s="7">
        <v>44150</v>
      </c>
      <c r="C721" s="2" t="s">
        <v>4551</v>
      </c>
      <c r="D721" t="s">
        <v>6169</v>
      </c>
      <c r="E721" s="2">
        <v>5</v>
      </c>
      <c r="F721" s="2" t="str">
        <f>_xlfn.XLOOKUP(C721,customers!$A$1:$A$1001,customers!$B$1:$B$1001,"",0)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6">
        <f>INDEX(products!$A$1:$G$49,MATCH(orders!$D721,products!$A$1:$A$49,0),MATCH(orders!K$1,products!$A$1:$G$1,0))</f>
        <v>1</v>
      </c>
      <c r="L721" s="4">
        <f>INDEX(products!$A$1:$G$49,MATCH(orders!$D721,products!$A$1:$A$49,0),MATCH(orders!L$1,products!$A$1:$G$1,0))</f>
        <v>15.85</v>
      </c>
      <c r="M721" s="4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hidden="1" x14ac:dyDescent="0.3">
      <c r="A722" s="2" t="s">
        <v>4556</v>
      </c>
      <c r="B722" s="7">
        <v>44215</v>
      </c>
      <c r="C722" s="2" t="s">
        <v>4557</v>
      </c>
      <c r="D722" t="s">
        <v>6143</v>
      </c>
      <c r="E722" s="2">
        <v>5</v>
      </c>
      <c r="F722" s="2" t="str">
        <f>_xlfn.XLOOKUP(C722,customers!$A$1:$A$1001,customers!$B$1:$B$1001,"",0)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6">
        <f>INDEX(products!$A$1:$G$49,MATCH(orders!$D722,products!$A$1:$A$49,0),MATCH(orders!K$1,products!$A$1:$G$1,0))</f>
        <v>0.5</v>
      </c>
      <c r="L722" s="4">
        <f>INDEX(products!$A$1:$G$49,MATCH(orders!$D722,products!$A$1:$A$49,0),MATCH(orders!L$1,products!$A$1:$G$1,0))</f>
        <v>7.29</v>
      </c>
      <c r="M722" s="4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hidden="1" x14ac:dyDescent="0.3">
      <c r="A723" s="2" t="s">
        <v>4562</v>
      </c>
      <c r="B723" s="7">
        <v>44479</v>
      </c>
      <c r="C723" s="2" t="s">
        <v>4563</v>
      </c>
      <c r="D723" t="s">
        <v>6173</v>
      </c>
      <c r="E723" s="2">
        <v>3</v>
      </c>
      <c r="F723" s="2" t="str">
        <f>_xlfn.XLOOKUP(C723,customers!$A$1:$A$1001,customers!$B$1:$B$1001,"",0)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6">
        <f>INDEX(products!$A$1:$G$49,MATCH(orders!$D723,products!$A$1:$A$49,0),MATCH(orders!K$1,products!$A$1:$G$1,0))</f>
        <v>0.2</v>
      </c>
      <c r="L723" s="4">
        <f>INDEX(products!$A$1:$G$49,MATCH(orders!$D723,products!$A$1:$A$49,0),MATCH(orders!L$1,products!$A$1:$G$1,0))</f>
        <v>2.9849999999999999</v>
      </c>
      <c r="M723" s="4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3">
      <c r="A724" s="2" t="s">
        <v>4568</v>
      </c>
      <c r="B724" s="7">
        <v>44620</v>
      </c>
      <c r="C724" s="2" t="s">
        <v>4569</v>
      </c>
      <c r="D724" t="s">
        <v>6182</v>
      </c>
      <c r="E724" s="2">
        <v>2</v>
      </c>
      <c r="F724" s="2" t="str">
        <f>_xlfn.XLOOKUP(C724,customers!$A$1:$A$1001,customers!$B$1:$B$1001,"",0)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6">
        <f>INDEX(products!$A$1:$G$49,MATCH(orders!$D724,products!$A$1:$A$49,0),MATCH(orders!K$1,products!$A$1:$G$1,0))</f>
        <v>1</v>
      </c>
      <c r="L724" s="4">
        <f>INDEX(products!$A$1:$G$49,MATCH(orders!$D724,products!$A$1:$A$49,0),MATCH(orders!L$1,products!$A$1:$G$1,0))</f>
        <v>12.15</v>
      </c>
      <c r="M724" s="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hidden="1" x14ac:dyDescent="0.3">
      <c r="A725" s="2" t="s">
        <v>4573</v>
      </c>
      <c r="B725" s="7">
        <v>44470</v>
      </c>
      <c r="C725" s="2" t="s">
        <v>4574</v>
      </c>
      <c r="D725" t="s">
        <v>6165</v>
      </c>
      <c r="E725" s="2">
        <v>2</v>
      </c>
      <c r="F725" s="2" t="str">
        <f>_xlfn.XLOOKUP(C725,customers!$A$1:$A$1001,customers!$B$1:$B$1001,"",0)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6">
        <f>INDEX(products!$A$1:$G$49,MATCH(orders!$D725,products!$A$1:$A$49,0),MATCH(orders!K$1,products!$A$1:$G$1,0))</f>
        <v>2.5</v>
      </c>
      <c r="L725" s="4">
        <f>INDEX(products!$A$1:$G$49,MATCH(orders!$D725,products!$A$1:$A$49,0),MATCH(orders!L$1,products!$A$1:$G$1,0))</f>
        <v>31.624999999999996</v>
      </c>
      <c r="M725" s="4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hidden="1" x14ac:dyDescent="0.3">
      <c r="A726" s="2" t="s">
        <v>4579</v>
      </c>
      <c r="B726" s="7">
        <v>44076</v>
      </c>
      <c r="C726" s="2" t="s">
        <v>4580</v>
      </c>
      <c r="D726" t="s">
        <v>6151</v>
      </c>
      <c r="E726" s="2">
        <v>2</v>
      </c>
      <c r="F726" s="2" t="str">
        <f>_xlfn.XLOOKUP(C726,customers!$A$1:$A$1001,customers!$B$1:$B$1001,"",0)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6">
        <f>INDEX(products!$A$1:$G$49,MATCH(orders!$D726,products!$A$1:$A$49,0),MATCH(orders!K$1,products!$A$1:$G$1,0))</f>
        <v>0.2</v>
      </c>
      <c r="L726" s="4">
        <f>INDEX(products!$A$1:$G$49,MATCH(orders!$D726,products!$A$1:$A$49,0),MATCH(orders!L$1,products!$A$1:$G$1,0))</f>
        <v>3.375</v>
      </c>
      <c r="M726" s="4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hidden="1" x14ac:dyDescent="0.3">
      <c r="A727" s="2" t="s">
        <v>4584</v>
      </c>
      <c r="B727" s="7">
        <v>44043</v>
      </c>
      <c r="C727" s="2" t="s">
        <v>4585</v>
      </c>
      <c r="D727" t="s">
        <v>6166</v>
      </c>
      <c r="E727" s="2">
        <v>6</v>
      </c>
      <c r="F727" s="2" t="str">
        <f>_xlfn.XLOOKUP(C727,customers!$A$1:$A$1001,customers!$B$1:$B$1001,"",0)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6">
        <f>INDEX(products!$A$1:$G$49,MATCH(orders!$D727,products!$A$1:$A$49,0),MATCH(orders!K$1,products!$A$1:$G$1,0))</f>
        <v>0.2</v>
      </c>
      <c r="L727" s="4">
        <f>INDEX(products!$A$1:$G$49,MATCH(orders!$D727,products!$A$1:$A$49,0),MATCH(orders!L$1,products!$A$1:$G$1,0))</f>
        <v>3.8849999999999998</v>
      </c>
      <c r="M727" s="4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3">
      <c r="A728" s="2" t="s">
        <v>4590</v>
      </c>
      <c r="B728" s="7">
        <v>44571</v>
      </c>
      <c r="C728" s="2" t="s">
        <v>4591</v>
      </c>
      <c r="D728" t="s">
        <v>6163</v>
      </c>
      <c r="E728" s="2">
        <v>4</v>
      </c>
      <c r="F728" s="2" t="str">
        <f>_xlfn.XLOOKUP(C728,customers!$A$1:$A$1001,customers!$B$1:$B$1001,"",0)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6">
        <f>INDEX(products!$A$1:$G$49,MATCH(orders!$D728,products!$A$1:$A$49,0),MATCH(orders!K$1,products!$A$1:$G$1,0))</f>
        <v>2.5</v>
      </c>
      <c r="L728" s="4">
        <f>INDEX(products!$A$1:$G$49,MATCH(orders!$D728,products!$A$1:$A$49,0),MATCH(orders!L$1,products!$A$1:$G$1,0))</f>
        <v>36.454999999999998</v>
      </c>
      <c r="M728" s="4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hidden="1" x14ac:dyDescent="0.3">
      <c r="A729" s="2" t="s">
        <v>4595</v>
      </c>
      <c r="B729" s="7">
        <v>44264</v>
      </c>
      <c r="C729" s="2" t="s">
        <v>4596</v>
      </c>
      <c r="D729" t="s">
        <v>6145</v>
      </c>
      <c r="E729" s="2">
        <v>5</v>
      </c>
      <c r="F729" s="2" t="str">
        <f>_xlfn.XLOOKUP(C729,customers!$A$1:$A$1001,customers!$B$1:$B$1001,"",0)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6">
        <f>INDEX(products!$A$1:$G$49,MATCH(orders!$D729,products!$A$1:$A$49,0),MATCH(orders!K$1,products!$A$1:$G$1,0))</f>
        <v>0.5</v>
      </c>
      <c r="L729" s="4">
        <f>INDEX(products!$A$1:$G$49,MATCH(orders!$D729,products!$A$1:$A$49,0),MATCH(orders!L$1,products!$A$1:$G$1,0))</f>
        <v>5.97</v>
      </c>
      <c r="M729" s="4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hidden="1" x14ac:dyDescent="0.3">
      <c r="A730" s="2" t="s">
        <v>4601</v>
      </c>
      <c r="B730" s="7">
        <v>44155</v>
      </c>
      <c r="C730" s="2" t="s">
        <v>4602</v>
      </c>
      <c r="D730" t="s">
        <v>6143</v>
      </c>
      <c r="E730" s="2">
        <v>3</v>
      </c>
      <c r="F730" s="2" t="str">
        <f>_xlfn.XLOOKUP(C730,customers!$A$1:$A$1001,customers!$B$1:$B$1001,"",0)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6">
        <f>INDEX(products!$A$1:$G$49,MATCH(orders!$D730,products!$A$1:$A$49,0),MATCH(orders!K$1,products!$A$1:$G$1,0))</f>
        <v>0.5</v>
      </c>
      <c r="L730" s="4">
        <f>INDEX(products!$A$1:$G$49,MATCH(orders!$D730,products!$A$1:$A$49,0),MATCH(orders!L$1,products!$A$1:$G$1,0))</f>
        <v>7.29</v>
      </c>
      <c r="M730" s="4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3">
      <c r="A731" s="2" t="s">
        <v>4607</v>
      </c>
      <c r="B731" s="7">
        <v>44634</v>
      </c>
      <c r="C731" s="2" t="s">
        <v>4608</v>
      </c>
      <c r="D731" t="s">
        <v>6158</v>
      </c>
      <c r="E731" s="2">
        <v>1</v>
      </c>
      <c r="F731" s="2" t="str">
        <f>_xlfn.XLOOKUP(C731,customers!$A$1:$A$1001,customers!$B$1:$B$1001,"",0)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6">
        <f>INDEX(products!$A$1:$G$49,MATCH(orders!$D731,products!$A$1:$A$49,0),MATCH(orders!K$1,products!$A$1:$G$1,0))</f>
        <v>0.2</v>
      </c>
      <c r="L731" s="4">
        <f>INDEX(products!$A$1:$G$49,MATCH(orders!$D731,products!$A$1:$A$49,0),MATCH(orders!L$1,products!$A$1:$G$1,0))</f>
        <v>4.3650000000000002</v>
      </c>
      <c r="M731" s="4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hidden="1" x14ac:dyDescent="0.3">
      <c r="A732" s="2" t="s">
        <v>4613</v>
      </c>
      <c r="B732" s="7">
        <v>43475</v>
      </c>
      <c r="C732" s="2" t="s">
        <v>4614</v>
      </c>
      <c r="D732" t="s">
        <v>6163</v>
      </c>
      <c r="E732" s="2">
        <v>1</v>
      </c>
      <c r="F732" s="2" t="str">
        <f>_xlfn.XLOOKUP(C732,customers!$A$1:$A$1001,customers!$B$1:$B$1001,"",0)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6">
        <f>INDEX(products!$A$1:$G$49,MATCH(orders!$D732,products!$A$1:$A$49,0),MATCH(orders!K$1,products!$A$1:$G$1,0))</f>
        <v>2.5</v>
      </c>
      <c r="L732" s="4">
        <f>INDEX(products!$A$1:$G$49,MATCH(orders!$D732,products!$A$1:$A$49,0),MATCH(orders!L$1,products!$A$1:$G$1,0))</f>
        <v>36.454999999999998</v>
      </c>
      <c r="M732" s="4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hidden="1" x14ac:dyDescent="0.3">
      <c r="A733" s="2" t="s">
        <v>4619</v>
      </c>
      <c r="B733" s="7">
        <v>44222</v>
      </c>
      <c r="C733" s="2" t="s">
        <v>4620</v>
      </c>
      <c r="D733" t="s">
        <v>6149</v>
      </c>
      <c r="E733" s="2">
        <v>4</v>
      </c>
      <c r="F733" s="2" t="str">
        <f>_xlfn.XLOOKUP(C733,customers!$A$1:$A$1001,customers!$B$1:$B$1001,"",0)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6">
        <f>INDEX(products!$A$1:$G$49,MATCH(orders!$D733,products!$A$1:$A$49,0),MATCH(orders!K$1,products!$A$1:$G$1,0))</f>
        <v>0.2</v>
      </c>
      <c r="L733" s="4">
        <f>INDEX(products!$A$1:$G$49,MATCH(orders!$D733,products!$A$1:$A$49,0),MATCH(orders!L$1,products!$A$1:$G$1,0))</f>
        <v>3.8849999999999998</v>
      </c>
      <c r="M733" s="4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hidden="1" x14ac:dyDescent="0.3">
      <c r="A734" s="2" t="s">
        <v>4624</v>
      </c>
      <c r="B734" s="7">
        <v>44312</v>
      </c>
      <c r="C734" s="2" t="s">
        <v>4625</v>
      </c>
      <c r="D734" t="s">
        <v>6183</v>
      </c>
      <c r="E734" s="2">
        <v>2</v>
      </c>
      <c r="F734" s="2" t="str">
        <f>_xlfn.XLOOKUP(C734,customers!$A$1:$A$1001,customers!$B$1:$B$1001,"",0)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6">
        <f>INDEX(products!$A$1:$G$49,MATCH(orders!$D734,products!$A$1:$A$49,0),MATCH(orders!K$1,products!$A$1:$G$1,0))</f>
        <v>0.2</v>
      </c>
      <c r="L734" s="4">
        <f>INDEX(products!$A$1:$G$49,MATCH(orders!$D734,products!$A$1:$A$49,0),MATCH(orders!L$1,products!$A$1:$G$1,0))</f>
        <v>4.4550000000000001</v>
      </c>
      <c r="M734" s="4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3">
      <c r="A735" s="2" t="s">
        <v>4630</v>
      </c>
      <c r="B735" s="7">
        <v>44565</v>
      </c>
      <c r="C735" s="2" t="s">
        <v>4631</v>
      </c>
      <c r="D735" t="s">
        <v>6180</v>
      </c>
      <c r="E735" s="2">
        <v>3</v>
      </c>
      <c r="F735" s="2" t="str">
        <f>_xlfn.XLOOKUP(C735,customers!$A$1:$A$1001,customers!$B$1:$B$1001,"",0)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6">
        <f>INDEX(products!$A$1:$G$49,MATCH(orders!$D735,products!$A$1:$A$49,0),MATCH(orders!K$1,products!$A$1:$G$1,0))</f>
        <v>2.5</v>
      </c>
      <c r="L735" s="4">
        <f>INDEX(products!$A$1:$G$49,MATCH(orders!$D735,products!$A$1:$A$49,0),MATCH(orders!L$1,products!$A$1:$G$1,0))</f>
        <v>33.464999999999996</v>
      </c>
      <c r="M735" s="4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hidden="1" x14ac:dyDescent="0.3">
      <c r="A736" s="2" t="s">
        <v>4636</v>
      </c>
      <c r="B736" s="7">
        <v>43697</v>
      </c>
      <c r="C736" s="2" t="s">
        <v>4637</v>
      </c>
      <c r="D736" t="s">
        <v>6162</v>
      </c>
      <c r="E736" s="2">
        <v>5</v>
      </c>
      <c r="F736" s="2" t="str">
        <f>_xlfn.XLOOKUP(C736,customers!$A$1:$A$1001,customers!$B$1:$B$1001,"",0)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6">
        <f>INDEX(products!$A$1:$G$49,MATCH(orders!$D736,products!$A$1:$A$49,0),MATCH(orders!K$1,products!$A$1:$G$1,0))</f>
        <v>0.2</v>
      </c>
      <c r="L736" s="4">
        <f>INDEX(products!$A$1:$G$49,MATCH(orders!$D736,products!$A$1:$A$49,0),MATCH(orders!L$1,products!$A$1:$G$1,0))</f>
        <v>2.6849999999999996</v>
      </c>
      <c r="M736" s="4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3">
      <c r="A737" s="2" t="s">
        <v>4641</v>
      </c>
      <c r="B737" s="7">
        <v>44757</v>
      </c>
      <c r="C737" s="2" t="s">
        <v>4642</v>
      </c>
      <c r="D737" t="s">
        <v>6152</v>
      </c>
      <c r="E737" s="2">
        <v>6</v>
      </c>
      <c r="F737" s="2" t="str">
        <f>_xlfn.XLOOKUP(C737,customers!$A$1:$A$1001,customers!$B$1:$B$1001,"",0)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6">
        <f>INDEX(products!$A$1:$G$49,MATCH(orders!$D737,products!$A$1:$A$49,0),MATCH(orders!K$1,products!$A$1:$G$1,0))</f>
        <v>0.2</v>
      </c>
      <c r="L737" s="4">
        <f>INDEX(products!$A$1:$G$49,MATCH(orders!$D737,products!$A$1:$A$49,0),MATCH(orders!L$1,products!$A$1:$G$1,0))</f>
        <v>3.645</v>
      </c>
      <c r="M737" s="4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hidden="1" x14ac:dyDescent="0.3">
      <c r="A738" s="2" t="s">
        <v>4646</v>
      </c>
      <c r="B738" s="7">
        <v>43508</v>
      </c>
      <c r="C738" s="2" t="s">
        <v>4647</v>
      </c>
      <c r="D738" t="s">
        <v>6142</v>
      </c>
      <c r="E738" s="2">
        <v>2</v>
      </c>
      <c r="F738" s="2" t="str">
        <f>_xlfn.XLOOKUP(C738,customers!$A$1:$A$1001,customers!$B$1:$B$1001,"",0)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6">
        <f>INDEX(products!$A$1:$G$49,MATCH(orders!$D738,products!$A$1:$A$49,0),MATCH(orders!K$1,products!$A$1:$G$1,0))</f>
        <v>1</v>
      </c>
      <c r="L738" s="4">
        <f>INDEX(products!$A$1:$G$49,MATCH(orders!$D738,products!$A$1:$A$49,0),MATCH(orders!L$1,products!$A$1:$G$1,0))</f>
        <v>12.95</v>
      </c>
      <c r="M738" s="4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hidden="1" x14ac:dyDescent="0.3">
      <c r="A739" s="2" t="s">
        <v>4652</v>
      </c>
      <c r="B739" s="7">
        <v>44447</v>
      </c>
      <c r="C739" s="2" t="s">
        <v>4653</v>
      </c>
      <c r="D739" t="s">
        <v>6154</v>
      </c>
      <c r="E739" s="2">
        <v>5</v>
      </c>
      <c r="F739" s="2" t="str">
        <f>_xlfn.XLOOKUP(C739,customers!$A$1:$A$1001,customers!$B$1:$B$1001,"",0)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6">
        <f>INDEX(products!$A$1:$G$49,MATCH(orders!$D739,products!$A$1:$A$49,0),MATCH(orders!K$1,products!$A$1:$G$1,0))</f>
        <v>1</v>
      </c>
      <c r="L739" s="4">
        <f>INDEX(products!$A$1:$G$49,MATCH(orders!$D739,products!$A$1:$A$49,0),MATCH(orders!L$1,products!$A$1:$G$1,0))</f>
        <v>11.25</v>
      </c>
      <c r="M739" s="4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hidden="1" x14ac:dyDescent="0.3">
      <c r="A740" s="2" t="s">
        <v>4658</v>
      </c>
      <c r="B740" s="7">
        <v>43812</v>
      </c>
      <c r="C740" s="2" t="s">
        <v>4659</v>
      </c>
      <c r="D740" t="s">
        <v>6177</v>
      </c>
      <c r="E740" s="2">
        <v>3</v>
      </c>
      <c r="F740" s="2" t="str">
        <f>_xlfn.XLOOKUP(C740,customers!$A$1:$A$1001,customers!$B$1:$B$1001,"",0)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6">
        <f>INDEX(products!$A$1:$G$49,MATCH(orders!$D740,products!$A$1:$A$49,0),MATCH(orders!K$1,products!$A$1:$G$1,0))</f>
        <v>0.2</v>
      </c>
      <c r="L740" s="4">
        <f>INDEX(products!$A$1:$G$49,MATCH(orders!$D740,products!$A$1:$A$49,0),MATCH(orders!L$1,products!$A$1:$G$1,0))</f>
        <v>3.5849999999999995</v>
      </c>
      <c r="M740" s="4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hidden="1" x14ac:dyDescent="0.3">
      <c r="A741" s="2" t="s">
        <v>4664</v>
      </c>
      <c r="B741" s="7">
        <v>44433</v>
      </c>
      <c r="C741" s="2" t="s">
        <v>4434</v>
      </c>
      <c r="D741" t="s">
        <v>6152</v>
      </c>
      <c r="E741" s="2">
        <v>5</v>
      </c>
      <c r="F741" s="2" t="str">
        <f>_xlfn.XLOOKUP(C741,customers!$A$1:$A$1001,customers!$B$1:$B$1001,"",0)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6">
        <f>INDEX(products!$A$1:$G$49,MATCH(orders!$D741,products!$A$1:$A$49,0),MATCH(orders!K$1,products!$A$1:$G$1,0))</f>
        <v>0.2</v>
      </c>
      <c r="L741" s="4">
        <f>INDEX(products!$A$1:$G$49,MATCH(orders!$D741,products!$A$1:$A$49,0),MATCH(orders!L$1,products!$A$1:$G$1,0))</f>
        <v>3.645</v>
      </c>
      <c r="M741" s="4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3">
      <c r="A742" s="2" t="s">
        <v>4669</v>
      </c>
      <c r="B742" s="7">
        <v>44643</v>
      </c>
      <c r="C742" s="2" t="s">
        <v>4670</v>
      </c>
      <c r="D742" t="s">
        <v>6172</v>
      </c>
      <c r="E742" s="2">
        <v>4</v>
      </c>
      <c r="F742" s="2" t="str">
        <f>_xlfn.XLOOKUP(C742,customers!$A$1:$A$1001,customers!$B$1:$B$1001,"",0)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6">
        <f>INDEX(products!$A$1:$G$49,MATCH(orders!$D742,products!$A$1:$A$49,0),MATCH(orders!K$1,products!$A$1:$G$1,0))</f>
        <v>0.5</v>
      </c>
      <c r="L742" s="4">
        <f>INDEX(products!$A$1:$G$49,MATCH(orders!$D742,products!$A$1:$A$49,0),MATCH(orders!L$1,products!$A$1:$G$1,0))</f>
        <v>7.169999999999999</v>
      </c>
      <c r="M742" s="4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hidden="1" x14ac:dyDescent="0.3">
      <c r="A743" s="2" t="s">
        <v>4675</v>
      </c>
      <c r="B743" s="7">
        <v>43566</v>
      </c>
      <c r="C743" s="2" t="s">
        <v>4676</v>
      </c>
      <c r="D743" t="s">
        <v>6158</v>
      </c>
      <c r="E743" s="2">
        <v>2</v>
      </c>
      <c r="F743" s="2" t="str">
        <f>_xlfn.XLOOKUP(C743,customers!$A$1:$A$1001,customers!$B$1:$B$1001,"",0)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6">
        <f>INDEX(products!$A$1:$G$49,MATCH(orders!$D743,products!$A$1:$A$49,0),MATCH(orders!K$1,products!$A$1:$G$1,0))</f>
        <v>0.2</v>
      </c>
      <c r="L743" s="4">
        <f>INDEX(products!$A$1:$G$49,MATCH(orders!$D743,products!$A$1:$A$49,0),MATCH(orders!L$1,products!$A$1:$G$1,0))</f>
        <v>4.3650000000000002</v>
      </c>
      <c r="M743" s="4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hidden="1" x14ac:dyDescent="0.3">
      <c r="A744" s="2" t="s">
        <v>4681</v>
      </c>
      <c r="B744" s="7">
        <v>44133</v>
      </c>
      <c r="C744" s="2" t="s">
        <v>4682</v>
      </c>
      <c r="D744" t="s">
        <v>6161</v>
      </c>
      <c r="E744" s="2">
        <v>4</v>
      </c>
      <c r="F744" s="2" t="str">
        <f>_xlfn.XLOOKUP(C744,customers!$A$1:$A$1001,customers!$B$1:$B$1001,"",0)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6">
        <f>INDEX(products!$A$1:$G$49,MATCH(orders!$D744,products!$A$1:$A$49,0),MATCH(orders!K$1,products!$A$1:$G$1,0))</f>
        <v>1</v>
      </c>
      <c r="L744" s="4">
        <f>INDEX(products!$A$1:$G$49,MATCH(orders!$D744,products!$A$1:$A$49,0),MATCH(orders!L$1,products!$A$1:$G$1,0))</f>
        <v>14.55</v>
      </c>
      <c r="M744" s="4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hidden="1" x14ac:dyDescent="0.3">
      <c r="A745" s="2" t="s">
        <v>4687</v>
      </c>
      <c r="B745" s="7">
        <v>44042</v>
      </c>
      <c r="C745" s="2" t="s">
        <v>4688</v>
      </c>
      <c r="D745" t="s">
        <v>6157</v>
      </c>
      <c r="E745" s="2">
        <v>3</v>
      </c>
      <c r="F745" s="2" t="str">
        <f>_xlfn.XLOOKUP(C745,customers!$A$1:$A$1001,customers!$B$1:$B$1001,"",0)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6">
        <f>INDEX(products!$A$1:$G$49,MATCH(orders!$D745,products!$A$1:$A$49,0),MATCH(orders!K$1,products!$A$1:$G$1,0))</f>
        <v>0.5</v>
      </c>
      <c r="L745" s="4">
        <f>INDEX(products!$A$1:$G$49,MATCH(orders!$D745,products!$A$1:$A$49,0),MATCH(orders!L$1,products!$A$1:$G$1,0))</f>
        <v>5.97</v>
      </c>
      <c r="M745" s="4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hidden="1" x14ac:dyDescent="0.3">
      <c r="A746" s="2" t="s">
        <v>4693</v>
      </c>
      <c r="B746" s="7">
        <v>43539</v>
      </c>
      <c r="C746" s="2" t="s">
        <v>4694</v>
      </c>
      <c r="D746" t="s">
        <v>6173</v>
      </c>
      <c r="E746" s="2">
        <v>6</v>
      </c>
      <c r="F746" s="2" t="str">
        <f>_xlfn.XLOOKUP(C746,customers!$A$1:$A$1001,customers!$B$1:$B$1001,"",0)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6">
        <f>INDEX(products!$A$1:$G$49,MATCH(orders!$D746,products!$A$1:$A$49,0),MATCH(orders!K$1,products!$A$1:$G$1,0))</f>
        <v>0.2</v>
      </c>
      <c r="L746" s="4">
        <f>INDEX(products!$A$1:$G$49,MATCH(orders!$D746,products!$A$1:$A$49,0),MATCH(orders!L$1,products!$A$1:$G$1,0))</f>
        <v>2.9849999999999999</v>
      </c>
      <c r="M746" s="4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hidden="1" x14ac:dyDescent="0.3">
      <c r="A747" s="2" t="s">
        <v>4698</v>
      </c>
      <c r="B747" s="7">
        <v>44557</v>
      </c>
      <c r="C747" s="2" t="s">
        <v>4699</v>
      </c>
      <c r="D747" t="s">
        <v>6143</v>
      </c>
      <c r="E747" s="2">
        <v>2</v>
      </c>
      <c r="F747" s="2" t="str">
        <f>_xlfn.XLOOKUP(C747,customers!$A$1:$A$1001,customers!$B$1:$B$1001,"",0)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6">
        <f>INDEX(products!$A$1:$G$49,MATCH(orders!$D747,products!$A$1:$A$49,0),MATCH(orders!K$1,products!$A$1:$G$1,0))</f>
        <v>0.5</v>
      </c>
      <c r="L747" s="4">
        <f>INDEX(products!$A$1:$G$49,MATCH(orders!$D747,products!$A$1:$A$49,0),MATCH(orders!L$1,products!$A$1:$G$1,0))</f>
        <v>7.29</v>
      </c>
      <c r="M747" s="4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hidden="1" x14ac:dyDescent="0.3">
      <c r="A748" s="2" t="s">
        <v>4704</v>
      </c>
      <c r="B748" s="7">
        <v>43741</v>
      </c>
      <c r="C748" s="2" t="s">
        <v>4705</v>
      </c>
      <c r="D748" t="s">
        <v>6154</v>
      </c>
      <c r="E748" s="2">
        <v>3</v>
      </c>
      <c r="F748" s="2" t="str">
        <f>_xlfn.XLOOKUP(C748,customers!$A$1:$A$1001,customers!$B$1:$B$1001,"",0)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6">
        <f>INDEX(products!$A$1:$G$49,MATCH(orders!$D748,products!$A$1:$A$49,0),MATCH(orders!K$1,products!$A$1:$G$1,0))</f>
        <v>1</v>
      </c>
      <c r="L748" s="4">
        <f>INDEX(products!$A$1:$G$49,MATCH(orders!$D748,products!$A$1:$A$49,0),MATCH(orders!L$1,products!$A$1:$G$1,0))</f>
        <v>11.25</v>
      </c>
      <c r="M748" s="4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hidden="1" x14ac:dyDescent="0.3">
      <c r="A749" s="2" t="s">
        <v>4710</v>
      </c>
      <c r="B749" s="7">
        <v>43501</v>
      </c>
      <c r="C749" s="2" t="s">
        <v>4711</v>
      </c>
      <c r="D749" t="s">
        <v>6159</v>
      </c>
      <c r="E749" s="2">
        <v>4</v>
      </c>
      <c r="F749" s="2" t="str">
        <f>_xlfn.XLOOKUP(C749,customers!$A$1:$A$1001,customers!$B$1:$B$1001,"",0)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6">
        <f>INDEX(products!$A$1:$G$49,MATCH(orders!$D749,products!$A$1:$A$49,0),MATCH(orders!K$1,products!$A$1:$G$1,0))</f>
        <v>0.5</v>
      </c>
      <c r="L749" s="4">
        <f>INDEX(products!$A$1:$G$49,MATCH(orders!$D749,products!$A$1:$A$49,0),MATCH(orders!L$1,products!$A$1:$G$1,0))</f>
        <v>8.73</v>
      </c>
      <c r="M749" s="4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hidden="1" x14ac:dyDescent="0.3">
      <c r="A750" s="2" t="s">
        <v>4716</v>
      </c>
      <c r="B750" s="7">
        <v>44074</v>
      </c>
      <c r="C750" s="2" t="s">
        <v>4717</v>
      </c>
      <c r="D750" t="s">
        <v>6143</v>
      </c>
      <c r="E750" s="2">
        <v>2</v>
      </c>
      <c r="F750" s="2" t="str">
        <f>_xlfn.XLOOKUP(C750,customers!$A$1:$A$1001,customers!$B$1:$B$1001,"",0)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6">
        <f>INDEX(products!$A$1:$G$49,MATCH(orders!$D750,products!$A$1:$A$49,0),MATCH(orders!K$1,products!$A$1:$G$1,0))</f>
        <v>0.5</v>
      </c>
      <c r="L750" s="4">
        <f>INDEX(products!$A$1:$G$49,MATCH(orders!$D750,products!$A$1:$A$49,0),MATCH(orders!L$1,products!$A$1:$G$1,0))</f>
        <v>7.29</v>
      </c>
      <c r="M750" s="4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hidden="1" x14ac:dyDescent="0.3">
      <c r="A751" s="2" t="s">
        <v>4722</v>
      </c>
      <c r="B751" s="7">
        <v>44209</v>
      </c>
      <c r="C751" s="2" t="s">
        <v>4723</v>
      </c>
      <c r="D751" t="s">
        <v>6162</v>
      </c>
      <c r="E751" s="2">
        <v>2</v>
      </c>
      <c r="F751" s="2" t="str">
        <f>_xlfn.XLOOKUP(C751,customers!$A$1:$A$1001,customers!$B$1:$B$1001,"",0)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6">
        <f>INDEX(products!$A$1:$G$49,MATCH(orders!$D751,products!$A$1:$A$49,0),MATCH(orders!K$1,products!$A$1:$G$1,0))</f>
        <v>0.2</v>
      </c>
      <c r="L751" s="4">
        <f>INDEX(products!$A$1:$G$49,MATCH(orders!$D751,products!$A$1:$A$49,0),MATCH(orders!L$1,products!$A$1:$G$1,0))</f>
        <v>2.6849999999999996</v>
      </c>
      <c r="M751" s="4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hidden="1" x14ac:dyDescent="0.3">
      <c r="A752" s="2" t="s">
        <v>4729</v>
      </c>
      <c r="B752" s="7">
        <v>44277</v>
      </c>
      <c r="C752" s="2" t="s">
        <v>4730</v>
      </c>
      <c r="D752" t="s">
        <v>6145</v>
      </c>
      <c r="E752" s="2">
        <v>1</v>
      </c>
      <c r="F752" s="2" t="str">
        <f>_xlfn.XLOOKUP(C752,customers!$A$1:$A$1001,customers!$B$1:$B$1001,"",0)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6">
        <f>INDEX(products!$A$1:$G$49,MATCH(orders!$D752,products!$A$1:$A$49,0),MATCH(orders!K$1,products!$A$1:$G$1,0))</f>
        <v>0.5</v>
      </c>
      <c r="L752" s="4">
        <f>INDEX(products!$A$1:$G$49,MATCH(orders!$D752,products!$A$1:$A$49,0),MATCH(orders!L$1,products!$A$1:$G$1,0))</f>
        <v>5.97</v>
      </c>
      <c r="M752" s="4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hidden="1" x14ac:dyDescent="0.3">
      <c r="A753" s="2" t="s">
        <v>4734</v>
      </c>
      <c r="B753" s="7">
        <v>43847</v>
      </c>
      <c r="C753" s="2" t="s">
        <v>4735</v>
      </c>
      <c r="D753" t="s">
        <v>6160</v>
      </c>
      <c r="E753" s="2">
        <v>2</v>
      </c>
      <c r="F753" s="2" t="str">
        <f>_xlfn.XLOOKUP(C753,customers!$A$1:$A$1001,customers!$B$1:$B$1001,"",0)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6">
        <f>INDEX(products!$A$1:$G$49,MATCH(orders!$D753,products!$A$1:$A$49,0),MATCH(orders!K$1,products!$A$1:$G$1,0))</f>
        <v>0.5</v>
      </c>
      <c r="L753" s="4">
        <f>INDEX(products!$A$1:$G$49,MATCH(orders!$D753,products!$A$1:$A$49,0),MATCH(orders!L$1,products!$A$1:$G$1,0))</f>
        <v>9.51</v>
      </c>
      <c r="M753" s="4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hidden="1" x14ac:dyDescent="0.3">
      <c r="A754" s="2" t="s">
        <v>4740</v>
      </c>
      <c r="B754" s="7">
        <v>43648</v>
      </c>
      <c r="C754" s="2" t="s">
        <v>4741</v>
      </c>
      <c r="D754" t="s">
        <v>6140</v>
      </c>
      <c r="E754" s="2">
        <v>2</v>
      </c>
      <c r="F754" s="2" t="str">
        <f>_xlfn.XLOOKUP(C754,customers!$A$1:$A$1001,customers!$B$1:$B$1001,"",0)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6">
        <f>INDEX(products!$A$1:$G$49,MATCH(orders!$D754,products!$A$1:$A$49,0),MATCH(orders!K$1,products!$A$1:$G$1,0))</f>
        <v>1</v>
      </c>
      <c r="L754" s="4">
        <f>INDEX(products!$A$1:$G$49,MATCH(orders!$D754,products!$A$1:$A$49,0),MATCH(orders!L$1,products!$A$1:$G$1,0))</f>
        <v>13.75</v>
      </c>
      <c r="M754" s="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3">
      <c r="A755" s="2" t="s">
        <v>4746</v>
      </c>
      <c r="B755" s="7">
        <v>44704</v>
      </c>
      <c r="C755" s="2" t="s">
        <v>4747</v>
      </c>
      <c r="D755" t="s">
        <v>6157</v>
      </c>
      <c r="E755" s="2">
        <v>5</v>
      </c>
      <c r="F755" s="2" t="str">
        <f>_xlfn.XLOOKUP(C755,customers!$A$1:$A$1001,customers!$B$1:$B$1001,"",0)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6">
        <f>INDEX(products!$A$1:$G$49,MATCH(orders!$D755,products!$A$1:$A$49,0),MATCH(orders!K$1,products!$A$1:$G$1,0))</f>
        <v>0.5</v>
      </c>
      <c r="L755" s="4">
        <f>INDEX(products!$A$1:$G$49,MATCH(orders!$D755,products!$A$1:$A$49,0),MATCH(orders!L$1,products!$A$1:$G$1,0))</f>
        <v>5.97</v>
      </c>
      <c r="M755" s="4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3">
      <c r="A756" s="2" t="s">
        <v>4752</v>
      </c>
      <c r="B756" s="7">
        <v>44726</v>
      </c>
      <c r="C756" s="2" t="s">
        <v>4434</v>
      </c>
      <c r="D756" t="s">
        <v>6153</v>
      </c>
      <c r="E756" s="2">
        <v>6</v>
      </c>
      <c r="F756" s="2" t="str">
        <f>_xlfn.XLOOKUP(C756,customers!$A$1:$A$1001,customers!$B$1:$B$1001,"",0)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6">
        <f>INDEX(products!$A$1:$G$49,MATCH(orders!$D756,products!$A$1:$A$49,0),MATCH(orders!K$1,products!$A$1:$G$1,0))</f>
        <v>0.2</v>
      </c>
      <c r="L756" s="4">
        <f>INDEX(products!$A$1:$G$49,MATCH(orders!$D756,products!$A$1:$A$49,0),MATCH(orders!L$1,products!$A$1:$G$1,0))</f>
        <v>2.9849999999999999</v>
      </c>
      <c r="M756" s="4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hidden="1" x14ac:dyDescent="0.3">
      <c r="A757" s="2" t="s">
        <v>4757</v>
      </c>
      <c r="B757" s="7">
        <v>44397</v>
      </c>
      <c r="C757" s="2" t="s">
        <v>4758</v>
      </c>
      <c r="D757" t="s">
        <v>6144</v>
      </c>
      <c r="E757" s="2">
        <v>6</v>
      </c>
      <c r="F757" s="2" t="str">
        <f>_xlfn.XLOOKUP(C757,customers!$A$1:$A$1001,customers!$B$1:$B$1001,"",0)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6">
        <f>INDEX(products!$A$1:$G$49,MATCH(orders!$D757,products!$A$1:$A$49,0),MATCH(orders!K$1,products!$A$1:$G$1,0))</f>
        <v>0.2</v>
      </c>
      <c r="L757" s="4">
        <f>INDEX(products!$A$1:$G$49,MATCH(orders!$D757,products!$A$1:$A$49,0),MATCH(orders!L$1,products!$A$1:$G$1,0))</f>
        <v>4.7549999999999999</v>
      </c>
      <c r="M757" s="4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3">
      <c r="A758" s="2" t="s">
        <v>4763</v>
      </c>
      <c r="B758" s="7">
        <v>44715</v>
      </c>
      <c r="C758" s="2" t="s">
        <v>4764</v>
      </c>
      <c r="D758" t="s">
        <v>6176</v>
      </c>
      <c r="E758" s="2">
        <v>4</v>
      </c>
      <c r="F758" s="2" t="str">
        <f>_xlfn.XLOOKUP(C758,customers!$A$1:$A$1001,customers!$B$1:$B$1001,"",0)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6">
        <f>INDEX(products!$A$1:$G$49,MATCH(orders!$D758,products!$A$1:$A$49,0),MATCH(orders!K$1,products!$A$1:$G$1,0))</f>
        <v>1</v>
      </c>
      <c r="L758" s="4">
        <f>INDEX(products!$A$1:$G$49,MATCH(orders!$D758,products!$A$1:$A$49,0),MATCH(orders!L$1,products!$A$1:$G$1,0))</f>
        <v>8.9499999999999993</v>
      </c>
      <c r="M758" s="4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hidden="1" x14ac:dyDescent="0.3">
      <c r="A759" s="2" t="s">
        <v>4769</v>
      </c>
      <c r="B759" s="7">
        <v>43977</v>
      </c>
      <c r="C759" s="2" t="s">
        <v>4770</v>
      </c>
      <c r="D759" t="s">
        <v>6157</v>
      </c>
      <c r="E759" s="2">
        <v>3</v>
      </c>
      <c r="F759" s="2" t="str">
        <f>_xlfn.XLOOKUP(C759,customers!$A$1:$A$1001,customers!$B$1:$B$1001,"",0)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6">
        <f>INDEX(products!$A$1:$G$49,MATCH(orders!$D759,products!$A$1:$A$49,0),MATCH(orders!K$1,products!$A$1:$G$1,0))</f>
        <v>0.5</v>
      </c>
      <c r="L759" s="4">
        <f>INDEX(products!$A$1:$G$49,MATCH(orders!$D759,products!$A$1:$A$49,0),MATCH(orders!L$1,products!$A$1:$G$1,0))</f>
        <v>5.97</v>
      </c>
      <c r="M759" s="4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hidden="1" x14ac:dyDescent="0.3">
      <c r="A760" s="2" t="s">
        <v>4775</v>
      </c>
      <c r="B760" s="7">
        <v>43672</v>
      </c>
      <c r="C760" s="2" t="s">
        <v>4776</v>
      </c>
      <c r="D760" t="s">
        <v>6176</v>
      </c>
      <c r="E760" s="2">
        <v>1</v>
      </c>
      <c r="F760" s="2" t="str">
        <f>_xlfn.XLOOKUP(C760,customers!$A$1:$A$1001,customers!$B$1:$B$1001,"",0)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6">
        <f>INDEX(products!$A$1:$G$49,MATCH(orders!$D760,products!$A$1:$A$49,0),MATCH(orders!K$1,products!$A$1:$G$1,0))</f>
        <v>1</v>
      </c>
      <c r="L760" s="4">
        <f>INDEX(products!$A$1:$G$49,MATCH(orders!$D760,products!$A$1:$A$49,0),MATCH(orders!L$1,products!$A$1:$G$1,0))</f>
        <v>8.9499999999999993</v>
      </c>
      <c r="M760" s="4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hidden="1" x14ac:dyDescent="0.3">
      <c r="A761" s="2" t="s">
        <v>4780</v>
      </c>
      <c r="B761" s="7">
        <v>44126</v>
      </c>
      <c r="C761" s="2" t="s">
        <v>4781</v>
      </c>
      <c r="D761" t="s">
        <v>6164</v>
      </c>
      <c r="E761" s="2">
        <v>1</v>
      </c>
      <c r="F761" s="2" t="str">
        <f>_xlfn.XLOOKUP(C761,customers!$A$1:$A$1001,customers!$B$1:$B$1001,"",0)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6">
        <f>INDEX(products!$A$1:$G$49,MATCH(orders!$D761,products!$A$1:$A$49,0),MATCH(orders!K$1,products!$A$1:$G$1,0))</f>
        <v>2.5</v>
      </c>
      <c r="L761" s="4">
        <f>INDEX(products!$A$1:$G$49,MATCH(orders!$D761,products!$A$1:$A$49,0),MATCH(orders!L$1,products!$A$1:$G$1,0))</f>
        <v>29.784999999999997</v>
      </c>
      <c r="M761" s="4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hidden="1" x14ac:dyDescent="0.3">
      <c r="A762" s="2" t="s">
        <v>4786</v>
      </c>
      <c r="B762" s="7">
        <v>44189</v>
      </c>
      <c r="C762" s="2" t="s">
        <v>4787</v>
      </c>
      <c r="D762" t="s">
        <v>6175</v>
      </c>
      <c r="E762" s="2">
        <v>5</v>
      </c>
      <c r="F762" s="2" t="str">
        <f>_xlfn.XLOOKUP(C762,customers!$A$1:$A$1001,customers!$B$1:$B$1001,"",0)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6">
        <f>INDEX(products!$A$1:$G$49,MATCH(orders!$D762,products!$A$1:$A$49,0),MATCH(orders!K$1,products!$A$1:$G$1,0))</f>
        <v>0.5</v>
      </c>
      <c r="L762" s="4">
        <f>INDEX(products!$A$1:$G$49,MATCH(orders!$D762,products!$A$1:$A$49,0),MATCH(orders!L$1,products!$A$1:$G$1,0))</f>
        <v>8.91</v>
      </c>
      <c r="M762" s="4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hidden="1" x14ac:dyDescent="0.3">
      <c r="A763" s="2" t="s">
        <v>4791</v>
      </c>
      <c r="B763" s="7">
        <v>43714</v>
      </c>
      <c r="C763" s="2" t="s">
        <v>4792</v>
      </c>
      <c r="D763" t="s">
        <v>6170</v>
      </c>
      <c r="E763" s="2">
        <v>6</v>
      </c>
      <c r="F763" s="2" t="str">
        <f>_xlfn.XLOOKUP(C763,customers!$A$1:$A$1001,customers!$B$1:$B$1001,"",0)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6">
        <f>INDEX(products!$A$1:$G$49,MATCH(orders!$D763,products!$A$1:$A$49,0),MATCH(orders!K$1,products!$A$1:$G$1,0))</f>
        <v>1</v>
      </c>
      <c r="L763" s="4">
        <f>INDEX(products!$A$1:$G$49,MATCH(orders!$D763,products!$A$1:$A$49,0),MATCH(orders!L$1,products!$A$1:$G$1,0))</f>
        <v>14.85</v>
      </c>
      <c r="M763" s="4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hidden="1" x14ac:dyDescent="0.3">
      <c r="A764" s="2" t="s">
        <v>4796</v>
      </c>
      <c r="B764" s="7">
        <v>43563</v>
      </c>
      <c r="C764" s="2" t="s">
        <v>4797</v>
      </c>
      <c r="D764" t="s">
        <v>6159</v>
      </c>
      <c r="E764" s="2">
        <v>5</v>
      </c>
      <c r="F764" s="2" t="str">
        <f>_xlfn.XLOOKUP(C764,customers!$A$1:$A$1001,customers!$B$1:$B$1001,"",0)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6">
        <f>INDEX(products!$A$1:$G$49,MATCH(orders!$D764,products!$A$1:$A$49,0),MATCH(orders!K$1,products!$A$1:$G$1,0))</f>
        <v>0.5</v>
      </c>
      <c r="L764" s="4">
        <f>INDEX(products!$A$1:$G$49,MATCH(orders!$D764,products!$A$1:$A$49,0),MATCH(orders!L$1,products!$A$1:$G$1,0))</f>
        <v>8.73</v>
      </c>
      <c r="M764" s="4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3">
      <c r="A765" s="2" t="s">
        <v>4802</v>
      </c>
      <c r="B765" s="7">
        <v>44587</v>
      </c>
      <c r="C765" s="2" t="s">
        <v>4803</v>
      </c>
      <c r="D765" t="s">
        <v>6179</v>
      </c>
      <c r="E765" s="2">
        <v>3</v>
      </c>
      <c r="F765" s="2" t="str">
        <f>_xlfn.XLOOKUP(C765,customers!$A$1:$A$1001,customers!$B$1:$B$1001,"",0)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6">
        <f>INDEX(products!$A$1:$G$49,MATCH(orders!$D765,products!$A$1:$A$49,0),MATCH(orders!K$1,products!$A$1:$G$1,0))</f>
        <v>0.5</v>
      </c>
      <c r="L765" s="4">
        <f>INDEX(products!$A$1:$G$49,MATCH(orders!$D765,products!$A$1:$A$49,0),MATCH(orders!L$1,products!$A$1:$G$1,0))</f>
        <v>7.77</v>
      </c>
      <c r="M765" s="4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hidden="1" x14ac:dyDescent="0.3">
      <c r="A766" s="2" t="s">
        <v>4807</v>
      </c>
      <c r="B766" s="7">
        <v>43797</v>
      </c>
      <c r="C766" s="2" t="s">
        <v>4808</v>
      </c>
      <c r="D766" t="s">
        <v>6181</v>
      </c>
      <c r="E766" s="2">
        <v>6</v>
      </c>
      <c r="F766" s="2" t="str">
        <f>_xlfn.XLOOKUP(C766,customers!$A$1:$A$1001,customers!$B$1:$B$1001,"",0)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6">
        <f>INDEX(products!$A$1:$G$49,MATCH(orders!$D766,products!$A$1:$A$49,0),MATCH(orders!K$1,products!$A$1:$G$1,0))</f>
        <v>2.5</v>
      </c>
      <c r="L766" s="4">
        <f>INDEX(products!$A$1:$G$49,MATCH(orders!$D766,products!$A$1:$A$49,0),MATCH(orders!L$1,products!$A$1:$G$1,0))</f>
        <v>29.784999999999997</v>
      </c>
      <c r="M766" s="4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hidden="1" x14ac:dyDescent="0.3">
      <c r="A767" s="2" t="s">
        <v>4813</v>
      </c>
      <c r="B767" s="7">
        <v>43667</v>
      </c>
      <c r="C767" s="2" t="s">
        <v>4814</v>
      </c>
      <c r="D767" t="s">
        <v>6137</v>
      </c>
      <c r="E767" s="2">
        <v>6</v>
      </c>
      <c r="F767" s="2" t="str">
        <f>_xlfn.XLOOKUP(C767,customers!$A$1:$A$1001,customers!$B$1:$B$1001,"",0)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6">
        <f>INDEX(products!$A$1:$G$49,MATCH(orders!$D767,products!$A$1:$A$49,0),MATCH(orders!K$1,products!$A$1:$G$1,0))</f>
        <v>1</v>
      </c>
      <c r="L767" s="4">
        <f>INDEX(products!$A$1:$G$49,MATCH(orders!$D767,products!$A$1:$A$49,0),MATCH(orders!L$1,products!$A$1:$G$1,0))</f>
        <v>9.9499999999999993</v>
      </c>
      <c r="M767" s="4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hidden="1" x14ac:dyDescent="0.3">
      <c r="A768" s="2" t="s">
        <v>4813</v>
      </c>
      <c r="B768" s="7">
        <v>43667</v>
      </c>
      <c r="C768" s="2" t="s">
        <v>4814</v>
      </c>
      <c r="D768" t="s">
        <v>6179</v>
      </c>
      <c r="E768" s="2">
        <v>2</v>
      </c>
      <c r="F768" s="2" t="str">
        <f>_xlfn.XLOOKUP(C768,customers!$A$1:$A$1001,customers!$B$1:$B$1001,"",0)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6">
        <f>INDEX(products!$A$1:$G$49,MATCH(orders!$D768,products!$A$1:$A$49,0),MATCH(orders!K$1,products!$A$1:$G$1,0))</f>
        <v>0.5</v>
      </c>
      <c r="L768" s="4">
        <f>INDEX(products!$A$1:$G$49,MATCH(orders!$D768,products!$A$1:$A$49,0),MATCH(orders!L$1,products!$A$1:$G$1,0))</f>
        <v>7.77</v>
      </c>
      <c r="M768" s="4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hidden="1" x14ac:dyDescent="0.3">
      <c r="A769" s="2" t="s">
        <v>4824</v>
      </c>
      <c r="B769" s="7">
        <v>44267</v>
      </c>
      <c r="C769" s="2" t="s">
        <v>4758</v>
      </c>
      <c r="D769" t="s">
        <v>6181</v>
      </c>
      <c r="E769" s="2">
        <v>3</v>
      </c>
      <c r="F769" s="2" t="str">
        <f>_xlfn.XLOOKUP(C769,customers!$A$1:$A$1001,customers!$B$1:$B$1001,"",0)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6">
        <f>INDEX(products!$A$1:$G$49,MATCH(orders!$D769,products!$A$1:$A$49,0),MATCH(orders!K$1,products!$A$1:$G$1,0))</f>
        <v>2.5</v>
      </c>
      <c r="L769" s="4">
        <f>INDEX(products!$A$1:$G$49,MATCH(orders!$D769,products!$A$1:$A$49,0),MATCH(orders!L$1,products!$A$1:$G$1,0))</f>
        <v>29.784999999999997</v>
      </c>
      <c r="M769" s="4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3">
      <c r="A770" s="2" t="s">
        <v>4830</v>
      </c>
      <c r="B770" s="7">
        <v>44562</v>
      </c>
      <c r="C770" s="2" t="s">
        <v>4758</v>
      </c>
      <c r="D770" t="s">
        <v>6178</v>
      </c>
      <c r="E770" s="2">
        <v>2</v>
      </c>
      <c r="F770" s="2" t="str">
        <f>_xlfn.XLOOKUP(C770,customers!$A$1:$A$1001,customers!$B$1:$B$1001,"",0)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6">
        <f>INDEX(products!$A$1:$G$49,MATCH(orders!$D770,products!$A$1:$A$49,0),MATCH(orders!K$1,products!$A$1:$G$1,0))</f>
        <v>1</v>
      </c>
      <c r="L770" s="4">
        <f>INDEX(products!$A$1:$G$49,MATCH(orders!$D770,products!$A$1:$A$49,0),MATCH(orders!L$1,products!$A$1:$G$1,0))</f>
        <v>11.95</v>
      </c>
      <c r="M770" s="4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hidden="1" x14ac:dyDescent="0.3">
      <c r="A771" s="2" t="s">
        <v>4835</v>
      </c>
      <c r="B771" s="7">
        <v>43912</v>
      </c>
      <c r="C771" s="2" t="s">
        <v>4836</v>
      </c>
      <c r="D771" t="s">
        <v>6150</v>
      </c>
      <c r="E771" s="2">
        <v>6</v>
      </c>
      <c r="F771" s="2" t="str">
        <f>_xlfn.XLOOKUP(C771,customers!$A$1:$A$1001,customers!$B$1:$B$1001,"",0)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6">
        <f>INDEX(products!$A$1:$G$49,MATCH(orders!$D771,products!$A$1:$A$49,0),MATCH(orders!K$1,products!$A$1:$G$1,0))</f>
        <v>2.5</v>
      </c>
      <c r="L771" s="4">
        <f>INDEX(products!$A$1:$G$49,MATCH(orders!$D771,products!$A$1:$A$49,0),MATCH(orders!L$1,products!$A$1:$G$1,0))</f>
        <v>22.884999999999998</v>
      </c>
      <c r="M771" s="4">
        <f t="shared" ref="M771:M834" si="36">E771*L771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hidden="1" x14ac:dyDescent="0.3">
      <c r="A772" s="2" t="s">
        <v>4841</v>
      </c>
      <c r="B772" s="7">
        <v>44092</v>
      </c>
      <c r="C772" s="2" t="s">
        <v>4842</v>
      </c>
      <c r="D772" t="s">
        <v>6146</v>
      </c>
      <c r="E772" s="2">
        <v>1</v>
      </c>
      <c r="F772" s="2" t="str">
        <f>_xlfn.XLOOKUP(C772,customers!$A$1:$A$1001,customers!$B$1:$B$1001,"",0)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6">
        <f>INDEX(products!$A$1:$G$49,MATCH(orders!$D772,products!$A$1:$A$49,0),MATCH(orders!K$1,products!$A$1:$G$1,0))</f>
        <v>1</v>
      </c>
      <c r="L772" s="4">
        <f>INDEX(products!$A$1:$G$49,MATCH(orders!$D772,products!$A$1:$A$49,0),MATCH(orders!L$1,products!$A$1:$G$1,0))</f>
        <v>9.9499999999999993</v>
      </c>
      <c r="M772" s="4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hidden="1" x14ac:dyDescent="0.3">
      <c r="A773" s="2" t="s">
        <v>4846</v>
      </c>
      <c r="B773" s="7">
        <v>43468</v>
      </c>
      <c r="C773" s="2" t="s">
        <v>4847</v>
      </c>
      <c r="D773" t="s">
        <v>6172</v>
      </c>
      <c r="E773" s="2">
        <v>3</v>
      </c>
      <c r="F773" s="2" t="str">
        <f>_xlfn.XLOOKUP(C773,customers!$A$1:$A$1001,customers!$B$1:$B$1001,"",0)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6">
        <f>INDEX(products!$A$1:$G$49,MATCH(orders!$D773,products!$A$1:$A$49,0),MATCH(orders!K$1,products!$A$1:$G$1,0))</f>
        <v>0.5</v>
      </c>
      <c r="L773" s="4">
        <f>INDEX(products!$A$1:$G$49,MATCH(orders!$D773,products!$A$1:$A$49,0),MATCH(orders!L$1,products!$A$1:$G$1,0))</f>
        <v>7.169999999999999</v>
      </c>
      <c r="M773" s="4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hidden="1" x14ac:dyDescent="0.3">
      <c r="A774" s="2" t="s">
        <v>4852</v>
      </c>
      <c r="B774" s="7">
        <v>44468</v>
      </c>
      <c r="C774" s="2" t="s">
        <v>4853</v>
      </c>
      <c r="D774" t="s">
        <v>6140</v>
      </c>
      <c r="E774" s="2">
        <v>6</v>
      </c>
      <c r="F774" s="2" t="str">
        <f>_xlfn.XLOOKUP(C774,customers!$A$1:$A$1001,customers!$B$1:$B$1001,"",0)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6">
        <f>INDEX(products!$A$1:$G$49,MATCH(orders!$D774,products!$A$1:$A$49,0),MATCH(orders!K$1,products!$A$1:$G$1,0))</f>
        <v>1</v>
      </c>
      <c r="L774" s="4">
        <f>INDEX(products!$A$1:$G$49,MATCH(orders!$D774,products!$A$1:$A$49,0),MATCH(orders!L$1,products!$A$1:$G$1,0))</f>
        <v>13.75</v>
      </c>
      <c r="M774" s="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hidden="1" x14ac:dyDescent="0.3">
      <c r="A775" s="2" t="s">
        <v>4857</v>
      </c>
      <c r="B775" s="7">
        <v>44488</v>
      </c>
      <c r="C775" s="2" t="s">
        <v>4858</v>
      </c>
      <c r="D775" t="s">
        <v>6158</v>
      </c>
      <c r="E775" s="2">
        <v>2</v>
      </c>
      <c r="F775" s="2" t="str">
        <f>_xlfn.XLOOKUP(C775,customers!$A$1:$A$1001,customers!$B$1:$B$1001,"",0)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6">
        <f>INDEX(products!$A$1:$G$49,MATCH(orders!$D775,products!$A$1:$A$49,0),MATCH(orders!K$1,products!$A$1:$G$1,0))</f>
        <v>0.2</v>
      </c>
      <c r="L775" s="4">
        <f>INDEX(products!$A$1:$G$49,MATCH(orders!$D775,products!$A$1:$A$49,0),MATCH(orders!L$1,products!$A$1:$G$1,0))</f>
        <v>4.3650000000000002</v>
      </c>
      <c r="M775" s="4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3">
      <c r="A776" s="2" t="s">
        <v>4863</v>
      </c>
      <c r="B776" s="7">
        <v>44756</v>
      </c>
      <c r="C776" s="2" t="s">
        <v>4864</v>
      </c>
      <c r="D776" t="s">
        <v>6137</v>
      </c>
      <c r="E776" s="2">
        <v>2</v>
      </c>
      <c r="F776" s="2" t="str">
        <f>_xlfn.XLOOKUP(C776,customers!$A$1:$A$1001,customers!$B$1:$B$1001,"",0)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6">
        <f>INDEX(products!$A$1:$G$49,MATCH(orders!$D776,products!$A$1:$A$49,0),MATCH(orders!K$1,products!$A$1:$G$1,0))</f>
        <v>1</v>
      </c>
      <c r="L776" s="4">
        <f>INDEX(products!$A$1:$G$49,MATCH(orders!$D776,products!$A$1:$A$49,0),MATCH(orders!L$1,products!$A$1:$G$1,0))</f>
        <v>9.9499999999999993</v>
      </c>
      <c r="M776" s="4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hidden="1" x14ac:dyDescent="0.3">
      <c r="A777" s="2" t="s">
        <v>4868</v>
      </c>
      <c r="B777" s="7">
        <v>44396</v>
      </c>
      <c r="C777" s="2" t="s">
        <v>4869</v>
      </c>
      <c r="D777" t="s">
        <v>6175</v>
      </c>
      <c r="E777" s="2">
        <v>2</v>
      </c>
      <c r="F777" s="2" t="str">
        <f>_xlfn.XLOOKUP(C777,customers!$A$1:$A$1001,customers!$B$1:$B$1001,"",0)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6">
        <f>INDEX(products!$A$1:$G$49,MATCH(orders!$D777,products!$A$1:$A$49,0),MATCH(orders!K$1,products!$A$1:$G$1,0))</f>
        <v>0.5</v>
      </c>
      <c r="L777" s="4">
        <f>INDEX(products!$A$1:$G$49,MATCH(orders!$D777,products!$A$1:$A$49,0),MATCH(orders!L$1,products!$A$1:$G$1,0))</f>
        <v>8.91</v>
      </c>
      <c r="M777" s="4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hidden="1" x14ac:dyDescent="0.3">
      <c r="A778" s="2" t="s">
        <v>4874</v>
      </c>
      <c r="B778" s="7">
        <v>44540</v>
      </c>
      <c r="C778" s="2" t="s">
        <v>4875</v>
      </c>
      <c r="D778" t="s">
        <v>6156</v>
      </c>
      <c r="E778" s="2">
        <v>3</v>
      </c>
      <c r="F778" s="2" t="str">
        <f>_xlfn.XLOOKUP(C778,customers!$A$1:$A$1001,customers!$B$1:$B$1001,"",0)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6">
        <f>INDEX(products!$A$1:$G$49,MATCH(orders!$D778,products!$A$1:$A$49,0),MATCH(orders!K$1,products!$A$1:$G$1,0))</f>
        <v>0.5</v>
      </c>
      <c r="L778" s="4">
        <f>INDEX(products!$A$1:$G$49,MATCH(orders!$D778,products!$A$1:$A$49,0),MATCH(orders!L$1,products!$A$1:$G$1,0))</f>
        <v>6.75</v>
      </c>
      <c r="M778" s="4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hidden="1" x14ac:dyDescent="0.3">
      <c r="A779" s="2" t="s">
        <v>4880</v>
      </c>
      <c r="B779" s="7">
        <v>43541</v>
      </c>
      <c r="C779" s="2" t="s">
        <v>4881</v>
      </c>
      <c r="D779" t="s">
        <v>6181</v>
      </c>
      <c r="E779" s="2">
        <v>2</v>
      </c>
      <c r="F779" s="2" t="str">
        <f>_xlfn.XLOOKUP(C779,customers!$A$1:$A$1001,customers!$B$1:$B$1001,"",0)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6">
        <f>INDEX(products!$A$1:$G$49,MATCH(orders!$D779,products!$A$1:$A$49,0),MATCH(orders!K$1,products!$A$1:$G$1,0))</f>
        <v>2.5</v>
      </c>
      <c r="L779" s="4">
        <f>INDEX(products!$A$1:$G$49,MATCH(orders!$D779,products!$A$1:$A$49,0),MATCH(orders!L$1,products!$A$1:$G$1,0))</f>
        <v>29.784999999999997</v>
      </c>
      <c r="M779" s="4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hidden="1" x14ac:dyDescent="0.3">
      <c r="A780" s="2" t="s">
        <v>4885</v>
      </c>
      <c r="B780" s="7">
        <v>43889</v>
      </c>
      <c r="C780" s="2" t="s">
        <v>4932</v>
      </c>
      <c r="D780" t="s">
        <v>6160</v>
      </c>
      <c r="E780" s="2">
        <v>2</v>
      </c>
      <c r="F780" s="2" t="str">
        <f>_xlfn.XLOOKUP(C780,customers!$A$1:$A$1001,customers!$B$1:$B$1001,"",0)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6">
        <f>INDEX(products!$A$1:$G$49,MATCH(orders!$D780,products!$A$1:$A$49,0),MATCH(orders!K$1,products!$A$1:$G$1,0))</f>
        <v>0.5</v>
      </c>
      <c r="L780" s="4">
        <f>INDEX(products!$A$1:$G$49,MATCH(orders!$D780,products!$A$1:$A$49,0),MATCH(orders!L$1,products!$A$1:$G$1,0))</f>
        <v>9.51</v>
      </c>
      <c r="M780" s="4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hidden="1" x14ac:dyDescent="0.3">
      <c r="A781" s="2" t="s">
        <v>4891</v>
      </c>
      <c r="B781" s="7">
        <v>43985</v>
      </c>
      <c r="C781" s="2" t="s">
        <v>4892</v>
      </c>
      <c r="D781" t="s">
        <v>6142</v>
      </c>
      <c r="E781" s="2">
        <v>6</v>
      </c>
      <c r="F781" s="2" t="str">
        <f>_xlfn.XLOOKUP(C781,customers!$A$1:$A$1001,customers!$B$1:$B$1001,"",0)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6">
        <f>INDEX(products!$A$1:$G$49,MATCH(orders!$D781,products!$A$1:$A$49,0),MATCH(orders!K$1,products!$A$1:$G$1,0))</f>
        <v>1</v>
      </c>
      <c r="L781" s="4">
        <f>INDEX(products!$A$1:$G$49,MATCH(orders!$D781,products!$A$1:$A$49,0),MATCH(orders!L$1,products!$A$1:$G$1,0))</f>
        <v>12.95</v>
      </c>
      <c r="M781" s="4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hidden="1" x14ac:dyDescent="0.3">
      <c r="A782" s="2" t="s">
        <v>4897</v>
      </c>
      <c r="B782" s="7">
        <v>43883</v>
      </c>
      <c r="C782" s="2" t="s">
        <v>4898</v>
      </c>
      <c r="D782" t="s">
        <v>6140</v>
      </c>
      <c r="E782" s="2">
        <v>3</v>
      </c>
      <c r="F782" s="2" t="str">
        <f>_xlfn.XLOOKUP(C782,customers!$A$1:$A$1001,customers!$B$1:$B$1001,"",0)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6">
        <f>INDEX(products!$A$1:$G$49,MATCH(orders!$D782,products!$A$1:$A$49,0),MATCH(orders!K$1,products!$A$1:$G$1,0))</f>
        <v>1</v>
      </c>
      <c r="L782" s="4">
        <f>INDEX(products!$A$1:$G$49,MATCH(orders!$D782,products!$A$1:$A$49,0),MATCH(orders!L$1,products!$A$1:$G$1,0))</f>
        <v>13.75</v>
      </c>
      <c r="M782" s="4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hidden="1" x14ac:dyDescent="0.3">
      <c r="A783" s="2" t="s">
        <v>4902</v>
      </c>
      <c r="B783" s="7">
        <v>43778</v>
      </c>
      <c r="C783" s="2" t="s">
        <v>4903</v>
      </c>
      <c r="D783" t="s">
        <v>6163</v>
      </c>
      <c r="E783" s="2">
        <v>4</v>
      </c>
      <c r="F783" s="2" t="str">
        <f>_xlfn.XLOOKUP(C783,customers!$A$1:$A$1001,customers!$B$1:$B$1001,"",0)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6">
        <f>INDEX(products!$A$1:$G$49,MATCH(orders!$D783,products!$A$1:$A$49,0),MATCH(orders!K$1,products!$A$1:$G$1,0))</f>
        <v>2.5</v>
      </c>
      <c r="L783" s="4">
        <f>INDEX(products!$A$1:$G$49,MATCH(orders!$D783,products!$A$1:$A$49,0),MATCH(orders!L$1,products!$A$1:$G$1,0))</f>
        <v>36.454999999999998</v>
      </c>
      <c r="M783" s="4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hidden="1" x14ac:dyDescent="0.3">
      <c r="A784" s="2" t="s">
        <v>4908</v>
      </c>
      <c r="B784" s="7">
        <v>43897</v>
      </c>
      <c r="C784" s="2" t="s">
        <v>4909</v>
      </c>
      <c r="D784" t="s">
        <v>6183</v>
      </c>
      <c r="E784" s="2">
        <v>6</v>
      </c>
      <c r="F784" s="2" t="str">
        <f>_xlfn.XLOOKUP(C784,customers!$A$1:$A$1001,customers!$B$1:$B$1001,"",0)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6">
        <f>INDEX(products!$A$1:$G$49,MATCH(orders!$D784,products!$A$1:$A$49,0),MATCH(orders!K$1,products!$A$1:$G$1,0))</f>
        <v>0.2</v>
      </c>
      <c r="L784" s="4">
        <f>INDEX(products!$A$1:$G$49,MATCH(orders!$D784,products!$A$1:$A$49,0),MATCH(orders!L$1,products!$A$1:$G$1,0))</f>
        <v>4.4550000000000001</v>
      </c>
      <c r="M784" s="4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hidden="1" x14ac:dyDescent="0.3">
      <c r="A785" s="2" t="s">
        <v>4914</v>
      </c>
      <c r="B785" s="7">
        <v>44312</v>
      </c>
      <c r="C785" s="2" t="s">
        <v>4915</v>
      </c>
      <c r="D785" t="s">
        <v>6159</v>
      </c>
      <c r="E785" s="2">
        <v>5</v>
      </c>
      <c r="F785" s="2" t="str">
        <f>_xlfn.XLOOKUP(C785,customers!$A$1:$A$1001,customers!$B$1:$B$1001,"",0)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6">
        <f>INDEX(products!$A$1:$G$49,MATCH(orders!$D785,products!$A$1:$A$49,0),MATCH(orders!K$1,products!$A$1:$G$1,0))</f>
        <v>0.5</v>
      </c>
      <c r="L785" s="4">
        <f>INDEX(products!$A$1:$G$49,MATCH(orders!$D785,products!$A$1:$A$49,0),MATCH(orders!L$1,products!$A$1:$G$1,0))</f>
        <v>8.73</v>
      </c>
      <c r="M785" s="4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hidden="1" x14ac:dyDescent="0.3">
      <c r="A786" s="2" t="s">
        <v>4920</v>
      </c>
      <c r="B786" s="7">
        <v>44511</v>
      </c>
      <c r="C786" s="2" t="s">
        <v>4921</v>
      </c>
      <c r="D786" t="s">
        <v>6169</v>
      </c>
      <c r="E786" s="2">
        <v>2</v>
      </c>
      <c r="F786" s="2" t="str">
        <f>_xlfn.XLOOKUP(C786,customers!$A$1:$A$1001,customers!$B$1:$B$1001,"",0)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6">
        <f>INDEX(products!$A$1:$G$49,MATCH(orders!$D786,products!$A$1:$A$49,0),MATCH(orders!K$1,products!$A$1:$G$1,0))</f>
        <v>1</v>
      </c>
      <c r="L786" s="4">
        <f>INDEX(products!$A$1:$G$49,MATCH(orders!$D786,products!$A$1:$A$49,0),MATCH(orders!L$1,products!$A$1:$G$1,0))</f>
        <v>15.85</v>
      </c>
      <c r="M786" s="4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hidden="1" x14ac:dyDescent="0.3">
      <c r="A787" s="2" t="s">
        <v>4925</v>
      </c>
      <c r="B787" s="7">
        <v>44362</v>
      </c>
      <c r="C787" s="2" t="s">
        <v>4926</v>
      </c>
      <c r="D787" t="s">
        <v>6167</v>
      </c>
      <c r="E787" s="2">
        <v>1</v>
      </c>
      <c r="F787" s="2" t="str">
        <f>_xlfn.XLOOKUP(C787,customers!$A$1:$A$1001,customers!$B$1:$B$1001,"",0)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6">
        <f>INDEX(products!$A$1:$G$49,MATCH(orders!$D787,products!$A$1:$A$49,0),MATCH(orders!K$1,products!$A$1:$G$1,0))</f>
        <v>2.5</v>
      </c>
      <c r="L787" s="4">
        <f>INDEX(products!$A$1:$G$49,MATCH(orders!$D787,products!$A$1:$A$49,0),MATCH(orders!L$1,products!$A$1:$G$1,0))</f>
        <v>22.884999999999998</v>
      </c>
      <c r="M787" s="4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hidden="1" x14ac:dyDescent="0.3">
      <c r="A788" s="2" t="s">
        <v>4931</v>
      </c>
      <c r="B788" s="7">
        <v>43888</v>
      </c>
      <c r="C788" s="2" t="s">
        <v>4932</v>
      </c>
      <c r="D788" t="s">
        <v>6184</v>
      </c>
      <c r="E788" s="2">
        <v>1</v>
      </c>
      <c r="F788" s="2" t="str">
        <f>_xlfn.XLOOKUP(C788,customers!$A$1:$A$1001,customers!$B$1:$B$1001,"",0)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6">
        <f>INDEX(products!$A$1:$G$49,MATCH(orders!$D788,products!$A$1:$A$49,0),MATCH(orders!K$1,products!$A$1:$G$1,0))</f>
        <v>2.5</v>
      </c>
      <c r="L788" s="4">
        <f>INDEX(products!$A$1:$G$49,MATCH(orders!$D788,products!$A$1:$A$49,0),MATCH(orders!L$1,products!$A$1:$G$1,0))</f>
        <v>27.945</v>
      </c>
      <c r="M788" s="4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hidden="1" x14ac:dyDescent="0.3">
      <c r="A789" s="2" t="s">
        <v>4937</v>
      </c>
      <c r="B789" s="7">
        <v>44305</v>
      </c>
      <c r="C789" s="2" t="s">
        <v>4938</v>
      </c>
      <c r="D789" t="s">
        <v>6140</v>
      </c>
      <c r="E789" s="2">
        <v>6</v>
      </c>
      <c r="F789" s="2" t="str">
        <f>_xlfn.XLOOKUP(C789,customers!$A$1:$A$1001,customers!$B$1:$B$1001,"",0)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6">
        <f>INDEX(products!$A$1:$G$49,MATCH(orders!$D789,products!$A$1:$A$49,0),MATCH(orders!K$1,products!$A$1:$G$1,0))</f>
        <v>1</v>
      </c>
      <c r="L789" s="4">
        <f>INDEX(products!$A$1:$G$49,MATCH(orders!$D789,products!$A$1:$A$49,0),MATCH(orders!L$1,products!$A$1:$G$1,0))</f>
        <v>13.75</v>
      </c>
      <c r="M789" s="4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3">
      <c r="A790" s="2" t="s">
        <v>4942</v>
      </c>
      <c r="B790" s="7">
        <v>44771</v>
      </c>
      <c r="C790" s="2" t="s">
        <v>4943</v>
      </c>
      <c r="D790" t="s">
        <v>6150</v>
      </c>
      <c r="E790" s="2">
        <v>2</v>
      </c>
      <c r="F790" s="2" t="str">
        <f>_xlfn.XLOOKUP(C790,customers!$A$1:$A$1001,customers!$B$1:$B$1001,"",0)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6">
        <f>INDEX(products!$A$1:$G$49,MATCH(orders!$D790,products!$A$1:$A$49,0),MATCH(orders!K$1,products!$A$1:$G$1,0))</f>
        <v>2.5</v>
      </c>
      <c r="L790" s="4">
        <f>INDEX(products!$A$1:$G$49,MATCH(orders!$D790,products!$A$1:$A$49,0),MATCH(orders!L$1,products!$A$1:$G$1,0))</f>
        <v>22.884999999999998</v>
      </c>
      <c r="M790" s="4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hidden="1" x14ac:dyDescent="0.3">
      <c r="A791" s="2" t="s">
        <v>4948</v>
      </c>
      <c r="B791" s="7">
        <v>43485</v>
      </c>
      <c r="C791" s="2" t="s">
        <v>4949</v>
      </c>
      <c r="D791" t="s">
        <v>6139</v>
      </c>
      <c r="E791" s="2">
        <v>6</v>
      </c>
      <c r="F791" s="2" t="str">
        <f>_xlfn.XLOOKUP(C791,customers!$A$1:$A$1001,customers!$B$1:$B$1001,"",0)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6">
        <f>INDEX(products!$A$1:$G$49,MATCH(orders!$D791,products!$A$1:$A$49,0),MATCH(orders!K$1,products!$A$1:$G$1,0))</f>
        <v>1</v>
      </c>
      <c r="L791" s="4">
        <f>INDEX(products!$A$1:$G$49,MATCH(orders!$D791,products!$A$1:$A$49,0),MATCH(orders!L$1,products!$A$1:$G$1,0))</f>
        <v>12.95</v>
      </c>
      <c r="M791" s="4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3">
      <c r="A792" s="2" t="s">
        <v>4954</v>
      </c>
      <c r="B792" s="7">
        <v>44613</v>
      </c>
      <c r="C792" s="2" t="s">
        <v>4955</v>
      </c>
      <c r="D792" t="s">
        <v>6179</v>
      </c>
      <c r="E792" s="2">
        <v>3</v>
      </c>
      <c r="F792" s="2" t="str">
        <f>_xlfn.XLOOKUP(C792,customers!$A$1:$A$1001,customers!$B$1:$B$1001,"",0)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6">
        <f>INDEX(products!$A$1:$G$49,MATCH(orders!$D792,products!$A$1:$A$49,0),MATCH(orders!K$1,products!$A$1:$G$1,0))</f>
        <v>0.5</v>
      </c>
      <c r="L792" s="4">
        <f>INDEX(products!$A$1:$G$49,MATCH(orders!$D792,products!$A$1:$A$49,0),MATCH(orders!L$1,products!$A$1:$G$1,0))</f>
        <v>7.77</v>
      </c>
      <c r="M792" s="4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hidden="1" x14ac:dyDescent="0.3">
      <c r="A793" s="2" t="s">
        <v>4960</v>
      </c>
      <c r="B793" s="7">
        <v>43954</v>
      </c>
      <c r="C793" s="2" t="s">
        <v>4961</v>
      </c>
      <c r="D793" t="s">
        <v>6144</v>
      </c>
      <c r="E793" s="2">
        <v>5</v>
      </c>
      <c r="F793" s="2" t="str">
        <f>_xlfn.XLOOKUP(C793,customers!$A$1:$A$1001,customers!$B$1:$B$1001,"",0)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6">
        <f>INDEX(products!$A$1:$G$49,MATCH(orders!$D793,products!$A$1:$A$49,0),MATCH(orders!K$1,products!$A$1:$G$1,0))</f>
        <v>0.2</v>
      </c>
      <c r="L793" s="4">
        <f>INDEX(products!$A$1:$G$49,MATCH(orders!$D793,products!$A$1:$A$49,0),MATCH(orders!L$1,products!$A$1:$G$1,0))</f>
        <v>4.7549999999999999</v>
      </c>
      <c r="M793" s="4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hidden="1" x14ac:dyDescent="0.3">
      <c r="A794" s="2" t="s">
        <v>4966</v>
      </c>
      <c r="B794" s="7">
        <v>43545</v>
      </c>
      <c r="C794" s="2" t="s">
        <v>4967</v>
      </c>
      <c r="D794" t="s">
        <v>6159</v>
      </c>
      <c r="E794" s="2">
        <v>6</v>
      </c>
      <c r="F794" s="2" t="str">
        <f>_xlfn.XLOOKUP(C794,customers!$A$1:$A$1001,customers!$B$1:$B$1001,"",0)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6">
        <f>INDEX(products!$A$1:$G$49,MATCH(orders!$D794,products!$A$1:$A$49,0),MATCH(orders!K$1,products!$A$1:$G$1,0))</f>
        <v>0.5</v>
      </c>
      <c r="L794" s="4">
        <f>INDEX(products!$A$1:$G$49,MATCH(orders!$D794,products!$A$1:$A$49,0),MATCH(orders!L$1,products!$A$1:$G$1,0))</f>
        <v>8.73</v>
      </c>
      <c r="M794" s="4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hidden="1" x14ac:dyDescent="0.3">
      <c r="A795" s="2" t="s">
        <v>4972</v>
      </c>
      <c r="B795" s="7">
        <v>43629</v>
      </c>
      <c r="C795" s="2" t="s">
        <v>4973</v>
      </c>
      <c r="D795" t="s">
        <v>6177</v>
      </c>
      <c r="E795" s="2">
        <v>5</v>
      </c>
      <c r="F795" s="2" t="str">
        <f>_xlfn.XLOOKUP(C795,customers!$A$1:$A$1001,customers!$B$1:$B$1001,"",0)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6">
        <f>INDEX(products!$A$1:$G$49,MATCH(orders!$D795,products!$A$1:$A$49,0),MATCH(orders!K$1,products!$A$1:$G$1,0))</f>
        <v>0.2</v>
      </c>
      <c r="L795" s="4">
        <f>INDEX(products!$A$1:$G$49,MATCH(orders!$D795,products!$A$1:$A$49,0),MATCH(orders!L$1,products!$A$1:$G$1,0))</f>
        <v>3.5849999999999995</v>
      </c>
      <c r="M795" s="4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hidden="1" x14ac:dyDescent="0.3">
      <c r="A796" s="2" t="s">
        <v>4978</v>
      </c>
      <c r="B796" s="7">
        <v>43987</v>
      </c>
      <c r="C796" s="2" t="s">
        <v>4979</v>
      </c>
      <c r="D796" t="s">
        <v>6181</v>
      </c>
      <c r="E796" s="2">
        <v>5</v>
      </c>
      <c r="F796" s="2" t="str">
        <f>_xlfn.XLOOKUP(C796,customers!$A$1:$A$1001,customers!$B$1:$B$1001,"",0)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6">
        <f>INDEX(products!$A$1:$G$49,MATCH(orders!$D796,products!$A$1:$A$49,0),MATCH(orders!K$1,products!$A$1:$G$1,0))</f>
        <v>2.5</v>
      </c>
      <c r="L796" s="4">
        <f>INDEX(products!$A$1:$G$49,MATCH(orders!$D796,products!$A$1:$A$49,0),MATCH(orders!L$1,products!$A$1:$G$1,0))</f>
        <v>29.784999999999997</v>
      </c>
      <c r="M796" s="4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hidden="1" x14ac:dyDescent="0.3">
      <c r="A797" s="2" t="s">
        <v>4984</v>
      </c>
      <c r="B797" s="7">
        <v>43540</v>
      </c>
      <c r="C797" s="2" t="s">
        <v>4985</v>
      </c>
      <c r="D797" t="s">
        <v>6172</v>
      </c>
      <c r="E797" s="2">
        <v>4</v>
      </c>
      <c r="F797" s="2" t="str">
        <f>_xlfn.XLOOKUP(C797,customers!$A$1:$A$1001,customers!$B$1:$B$1001,"",0)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6">
        <f>INDEX(products!$A$1:$G$49,MATCH(orders!$D797,products!$A$1:$A$49,0),MATCH(orders!K$1,products!$A$1:$G$1,0))</f>
        <v>0.5</v>
      </c>
      <c r="L797" s="4">
        <f>INDEX(products!$A$1:$G$49,MATCH(orders!$D797,products!$A$1:$A$49,0),MATCH(orders!L$1,products!$A$1:$G$1,0))</f>
        <v>7.169999999999999</v>
      </c>
      <c r="M797" s="4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hidden="1" x14ac:dyDescent="0.3">
      <c r="A798" s="2" t="s">
        <v>4990</v>
      </c>
      <c r="B798" s="7">
        <v>44533</v>
      </c>
      <c r="C798" s="2" t="s">
        <v>4991</v>
      </c>
      <c r="D798" t="s">
        <v>6160</v>
      </c>
      <c r="E798" s="2">
        <v>1</v>
      </c>
      <c r="F798" s="2" t="str">
        <f>_xlfn.XLOOKUP(C798,customers!$A$1:$A$1001,customers!$B$1:$B$1001,"",0)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6">
        <f>INDEX(products!$A$1:$G$49,MATCH(orders!$D798,products!$A$1:$A$49,0),MATCH(orders!K$1,products!$A$1:$G$1,0))</f>
        <v>0.5</v>
      </c>
      <c r="L798" s="4">
        <f>INDEX(products!$A$1:$G$49,MATCH(orders!$D798,products!$A$1:$A$49,0),MATCH(orders!L$1,products!$A$1:$G$1,0))</f>
        <v>9.51</v>
      </c>
      <c r="M798" s="4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3">
      <c r="A799" s="2" t="s">
        <v>4995</v>
      </c>
      <c r="B799" s="7">
        <v>44751</v>
      </c>
      <c r="C799" s="2" t="s">
        <v>4996</v>
      </c>
      <c r="D799" t="s">
        <v>6179</v>
      </c>
      <c r="E799" s="2">
        <v>4</v>
      </c>
      <c r="F799" s="2" t="str">
        <f>_xlfn.XLOOKUP(C799,customers!$A$1:$A$1001,customers!$B$1:$B$1001,"",0)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6">
        <f>INDEX(products!$A$1:$G$49,MATCH(orders!$D799,products!$A$1:$A$49,0),MATCH(orders!K$1,products!$A$1:$G$1,0))</f>
        <v>0.5</v>
      </c>
      <c r="L799" s="4">
        <f>INDEX(products!$A$1:$G$49,MATCH(orders!$D799,products!$A$1:$A$49,0),MATCH(orders!L$1,products!$A$1:$G$1,0))</f>
        <v>7.77</v>
      </c>
      <c r="M799" s="4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hidden="1" x14ac:dyDescent="0.3">
      <c r="A800" s="2" t="s">
        <v>5001</v>
      </c>
      <c r="B800" s="7">
        <v>43950</v>
      </c>
      <c r="C800" s="2" t="s">
        <v>5002</v>
      </c>
      <c r="D800" t="s">
        <v>6162</v>
      </c>
      <c r="E800" s="2">
        <v>3</v>
      </c>
      <c r="F800" s="2" t="str">
        <f>_xlfn.XLOOKUP(C800,customers!$A$1:$A$1001,customers!$B$1:$B$1001,"",0)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6">
        <f>INDEX(products!$A$1:$G$49,MATCH(orders!$D800,products!$A$1:$A$49,0),MATCH(orders!K$1,products!$A$1:$G$1,0))</f>
        <v>0.2</v>
      </c>
      <c r="L800" s="4">
        <f>INDEX(products!$A$1:$G$49,MATCH(orders!$D800,products!$A$1:$A$49,0),MATCH(orders!L$1,products!$A$1:$G$1,0))</f>
        <v>2.6849999999999996</v>
      </c>
      <c r="M800" s="4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3">
      <c r="A801" s="2" t="s">
        <v>5007</v>
      </c>
      <c r="B801" s="7">
        <v>44588</v>
      </c>
      <c r="C801" s="2" t="s">
        <v>5008</v>
      </c>
      <c r="D801" t="s">
        <v>6182</v>
      </c>
      <c r="E801" s="2">
        <v>3</v>
      </c>
      <c r="F801" s="2" t="str">
        <f>_xlfn.XLOOKUP(C801,customers!$A$1:$A$1001,customers!$B$1:$B$1001,"",0)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6">
        <f>INDEX(products!$A$1:$G$49,MATCH(orders!$D801,products!$A$1:$A$49,0),MATCH(orders!K$1,products!$A$1:$G$1,0))</f>
        <v>1</v>
      </c>
      <c r="L801" s="4">
        <f>INDEX(products!$A$1:$G$49,MATCH(orders!$D801,products!$A$1:$A$49,0),MATCH(orders!L$1,products!$A$1:$G$1,0))</f>
        <v>12.15</v>
      </c>
      <c r="M801" s="4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hidden="1" x14ac:dyDescent="0.3">
      <c r="A802" s="2" t="s">
        <v>5011</v>
      </c>
      <c r="B802" s="7">
        <v>44240</v>
      </c>
      <c r="C802" s="2" t="s">
        <v>5012</v>
      </c>
      <c r="D802" t="s">
        <v>6162</v>
      </c>
      <c r="E802" s="2">
        <v>6</v>
      </c>
      <c r="F802" s="2" t="str">
        <f>_xlfn.XLOOKUP(C802,customers!$A$1:$A$1001,customers!$B$1:$B$1001,"",0)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6">
        <f>INDEX(products!$A$1:$G$49,MATCH(orders!$D802,products!$A$1:$A$49,0),MATCH(orders!K$1,products!$A$1:$G$1,0))</f>
        <v>0.2</v>
      </c>
      <c r="L802" s="4">
        <f>INDEX(products!$A$1:$G$49,MATCH(orders!$D802,products!$A$1:$A$49,0),MATCH(orders!L$1,products!$A$1:$G$1,0))</f>
        <v>2.6849999999999996</v>
      </c>
      <c r="M802" s="4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hidden="1" x14ac:dyDescent="0.3">
      <c r="A803" s="2" t="s">
        <v>5017</v>
      </c>
      <c r="B803" s="7">
        <v>44025</v>
      </c>
      <c r="C803" s="2" t="s">
        <v>5018</v>
      </c>
      <c r="D803" t="s">
        <v>6148</v>
      </c>
      <c r="E803" s="2">
        <v>2</v>
      </c>
      <c r="F803" s="2" t="str">
        <f>_xlfn.XLOOKUP(C803,customers!$A$1:$A$1001,customers!$B$1:$B$1001,"",0)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6">
        <f>INDEX(products!$A$1:$G$49,MATCH(orders!$D803,products!$A$1:$A$49,0),MATCH(orders!K$1,products!$A$1:$G$1,0))</f>
        <v>2.5</v>
      </c>
      <c r="L803" s="4">
        <f>INDEX(products!$A$1:$G$49,MATCH(orders!$D803,products!$A$1:$A$49,0),MATCH(orders!L$1,products!$A$1:$G$1,0))</f>
        <v>20.584999999999997</v>
      </c>
      <c r="M803" s="4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hidden="1" x14ac:dyDescent="0.3">
      <c r="A804" s="2" t="s">
        <v>5023</v>
      </c>
      <c r="B804" s="7">
        <v>43902</v>
      </c>
      <c r="C804" s="2" t="s">
        <v>5024</v>
      </c>
      <c r="D804" t="s">
        <v>6162</v>
      </c>
      <c r="E804" s="2">
        <v>4</v>
      </c>
      <c r="F804" s="2" t="str">
        <f>_xlfn.XLOOKUP(C804,customers!$A$1:$A$1001,customers!$B$1:$B$1001,"",0)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6">
        <f>INDEX(products!$A$1:$G$49,MATCH(orders!$D804,products!$A$1:$A$49,0),MATCH(orders!K$1,products!$A$1:$G$1,0))</f>
        <v>0.2</v>
      </c>
      <c r="L804" s="4">
        <f>INDEX(products!$A$1:$G$49,MATCH(orders!$D804,products!$A$1:$A$49,0),MATCH(orders!L$1,products!$A$1:$G$1,0))</f>
        <v>2.6849999999999996</v>
      </c>
      <c r="M804" s="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hidden="1" x14ac:dyDescent="0.3">
      <c r="A805" s="2" t="s">
        <v>5029</v>
      </c>
      <c r="B805" s="7">
        <v>43955</v>
      </c>
      <c r="C805" s="2" t="s">
        <v>5030</v>
      </c>
      <c r="D805" t="s">
        <v>6165</v>
      </c>
      <c r="E805" s="2">
        <v>4</v>
      </c>
      <c r="F805" s="2" t="str">
        <f>_xlfn.XLOOKUP(C805,customers!$A$1:$A$1001,customers!$B$1:$B$1001,"",0)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6">
        <f>INDEX(products!$A$1:$G$49,MATCH(orders!$D805,products!$A$1:$A$49,0),MATCH(orders!K$1,products!$A$1:$G$1,0))</f>
        <v>2.5</v>
      </c>
      <c r="L805" s="4">
        <f>INDEX(products!$A$1:$G$49,MATCH(orders!$D805,products!$A$1:$A$49,0),MATCH(orders!L$1,products!$A$1:$G$1,0))</f>
        <v>31.624999999999996</v>
      </c>
      <c r="M805" s="4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hidden="1" x14ac:dyDescent="0.3">
      <c r="A806" s="2" t="s">
        <v>5034</v>
      </c>
      <c r="B806" s="7">
        <v>44289</v>
      </c>
      <c r="C806" s="2" t="s">
        <v>5035</v>
      </c>
      <c r="D806" t="s">
        <v>6178</v>
      </c>
      <c r="E806" s="2">
        <v>2</v>
      </c>
      <c r="F806" s="2" t="str">
        <f>_xlfn.XLOOKUP(C806,customers!$A$1:$A$1001,customers!$B$1:$B$1001,"",0)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6">
        <f>INDEX(products!$A$1:$G$49,MATCH(orders!$D806,products!$A$1:$A$49,0),MATCH(orders!K$1,products!$A$1:$G$1,0))</f>
        <v>1</v>
      </c>
      <c r="L806" s="4">
        <f>INDEX(products!$A$1:$G$49,MATCH(orders!$D806,products!$A$1:$A$49,0),MATCH(orders!L$1,products!$A$1:$G$1,0))</f>
        <v>11.95</v>
      </c>
      <c r="M806" s="4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3">
      <c r="A807" s="2" t="s">
        <v>5039</v>
      </c>
      <c r="B807" s="7">
        <v>44713</v>
      </c>
      <c r="C807" s="2" t="s">
        <v>5040</v>
      </c>
      <c r="D807" t="s">
        <v>6145</v>
      </c>
      <c r="E807" s="2">
        <v>1</v>
      </c>
      <c r="F807" s="2" t="str">
        <f>_xlfn.XLOOKUP(C807,customers!$A$1:$A$1001,customers!$B$1:$B$1001,"",0)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6">
        <f>INDEX(products!$A$1:$G$49,MATCH(orders!$D807,products!$A$1:$A$49,0),MATCH(orders!K$1,products!$A$1:$G$1,0))</f>
        <v>0.5</v>
      </c>
      <c r="L807" s="4">
        <f>INDEX(products!$A$1:$G$49,MATCH(orders!$D807,products!$A$1:$A$49,0),MATCH(orders!L$1,products!$A$1:$G$1,0))</f>
        <v>5.97</v>
      </c>
      <c r="M807" s="4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hidden="1" x14ac:dyDescent="0.3">
      <c r="A808" s="2" t="s">
        <v>5045</v>
      </c>
      <c r="B808" s="7">
        <v>44241</v>
      </c>
      <c r="C808" s="2" t="s">
        <v>5046</v>
      </c>
      <c r="D808" t="s">
        <v>6149</v>
      </c>
      <c r="E808" s="2">
        <v>2</v>
      </c>
      <c r="F808" s="2" t="str">
        <f>_xlfn.XLOOKUP(C808,customers!$A$1:$A$1001,customers!$B$1:$B$1001,"",0)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6">
        <f>INDEX(products!$A$1:$G$49,MATCH(orders!$D808,products!$A$1:$A$49,0),MATCH(orders!K$1,products!$A$1:$G$1,0))</f>
        <v>0.2</v>
      </c>
      <c r="L808" s="4">
        <f>INDEX(products!$A$1:$G$49,MATCH(orders!$D808,products!$A$1:$A$49,0),MATCH(orders!L$1,products!$A$1:$G$1,0))</f>
        <v>3.8849999999999998</v>
      </c>
      <c r="M808" s="4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hidden="1" x14ac:dyDescent="0.3">
      <c r="A809" s="2" t="s">
        <v>5049</v>
      </c>
      <c r="B809" s="7">
        <v>44543</v>
      </c>
      <c r="C809" s="2" t="s">
        <v>5050</v>
      </c>
      <c r="D809" t="s">
        <v>6168</v>
      </c>
      <c r="E809" s="2">
        <v>3</v>
      </c>
      <c r="F809" s="2" t="str">
        <f>_xlfn.XLOOKUP(C809,customers!$A$1:$A$1001,customers!$B$1:$B$1001,"",0)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6">
        <f>INDEX(products!$A$1:$G$49,MATCH(orders!$D809,products!$A$1:$A$49,0),MATCH(orders!K$1,products!$A$1:$G$1,0))</f>
        <v>0.5</v>
      </c>
      <c r="L809" s="4">
        <f>INDEX(products!$A$1:$G$49,MATCH(orders!$D809,products!$A$1:$A$49,0),MATCH(orders!L$1,products!$A$1:$G$1,0))</f>
        <v>7.77</v>
      </c>
      <c r="M809" s="4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hidden="1" x14ac:dyDescent="0.3">
      <c r="A810" s="2" t="s">
        <v>5055</v>
      </c>
      <c r="B810" s="7">
        <v>43868</v>
      </c>
      <c r="C810" s="2" t="s">
        <v>5112</v>
      </c>
      <c r="D810" t="s">
        <v>6141</v>
      </c>
      <c r="E810" s="2">
        <v>5</v>
      </c>
      <c r="F810" s="2" t="str">
        <f>_xlfn.XLOOKUP(C810,customers!$A$1:$A$1001,customers!$B$1:$B$1001,"",0)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6">
        <f>INDEX(products!$A$1:$G$49,MATCH(orders!$D810,products!$A$1:$A$49,0),MATCH(orders!K$1,products!$A$1:$G$1,0))</f>
        <v>2.5</v>
      </c>
      <c r="L810" s="4">
        <f>INDEX(products!$A$1:$G$49,MATCH(orders!$D810,products!$A$1:$A$49,0),MATCH(orders!L$1,products!$A$1:$G$1,0))</f>
        <v>27.484999999999996</v>
      </c>
      <c r="M810" s="4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hidden="1" x14ac:dyDescent="0.3">
      <c r="A811" s="2" t="s">
        <v>5061</v>
      </c>
      <c r="B811" s="7">
        <v>44235</v>
      </c>
      <c r="C811" s="2" t="s">
        <v>5062</v>
      </c>
      <c r="D811" t="s">
        <v>6162</v>
      </c>
      <c r="E811" s="2">
        <v>3</v>
      </c>
      <c r="F811" s="2" t="str">
        <f>_xlfn.XLOOKUP(C811,customers!$A$1:$A$1001,customers!$B$1:$B$1001,"",0)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6">
        <f>INDEX(products!$A$1:$G$49,MATCH(orders!$D811,products!$A$1:$A$49,0),MATCH(orders!K$1,products!$A$1:$G$1,0))</f>
        <v>0.2</v>
      </c>
      <c r="L811" s="4">
        <f>INDEX(products!$A$1:$G$49,MATCH(orders!$D811,products!$A$1:$A$49,0),MATCH(orders!L$1,products!$A$1:$G$1,0))</f>
        <v>2.6849999999999996</v>
      </c>
      <c r="M811" s="4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hidden="1" x14ac:dyDescent="0.3">
      <c r="A812" s="2" t="s">
        <v>5066</v>
      </c>
      <c r="B812" s="7">
        <v>44054</v>
      </c>
      <c r="C812" s="2" t="s">
        <v>5067</v>
      </c>
      <c r="D812" t="s">
        <v>6160</v>
      </c>
      <c r="E812" s="2">
        <v>3</v>
      </c>
      <c r="F812" s="2" t="str">
        <f>_xlfn.XLOOKUP(C812,customers!$A$1:$A$1001,customers!$B$1:$B$1001,"",0)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6">
        <f>INDEX(products!$A$1:$G$49,MATCH(orders!$D812,products!$A$1:$A$49,0),MATCH(orders!K$1,products!$A$1:$G$1,0))</f>
        <v>0.5</v>
      </c>
      <c r="L812" s="4">
        <f>INDEX(products!$A$1:$G$49,MATCH(orders!$D812,products!$A$1:$A$49,0),MATCH(orders!L$1,products!$A$1:$G$1,0))</f>
        <v>9.51</v>
      </c>
      <c r="M812" s="4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hidden="1" x14ac:dyDescent="0.3">
      <c r="A813" s="2" t="s">
        <v>5072</v>
      </c>
      <c r="B813" s="7">
        <v>44114</v>
      </c>
      <c r="C813" s="2" t="s">
        <v>5073</v>
      </c>
      <c r="D813" t="s">
        <v>6154</v>
      </c>
      <c r="E813" s="2">
        <v>6</v>
      </c>
      <c r="F813" s="2" t="str">
        <f>_xlfn.XLOOKUP(C813,customers!$A$1:$A$1001,customers!$B$1:$B$1001,"",0)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6">
        <f>INDEX(products!$A$1:$G$49,MATCH(orders!$D813,products!$A$1:$A$49,0),MATCH(orders!K$1,products!$A$1:$G$1,0))</f>
        <v>1</v>
      </c>
      <c r="L813" s="4">
        <f>INDEX(products!$A$1:$G$49,MATCH(orders!$D813,products!$A$1:$A$49,0),MATCH(orders!L$1,products!$A$1:$G$1,0))</f>
        <v>11.25</v>
      </c>
      <c r="M813" s="4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hidden="1" x14ac:dyDescent="0.3">
      <c r="A814" s="2" t="s">
        <v>5072</v>
      </c>
      <c r="B814" s="7">
        <v>44114</v>
      </c>
      <c r="C814" s="2" t="s">
        <v>5073</v>
      </c>
      <c r="D814" t="s">
        <v>6164</v>
      </c>
      <c r="E814" s="2">
        <v>6</v>
      </c>
      <c r="F814" s="2" t="str">
        <f>_xlfn.XLOOKUP(C814,customers!$A$1:$A$1001,customers!$B$1:$B$1001,"",0)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6">
        <f>INDEX(products!$A$1:$G$49,MATCH(orders!$D814,products!$A$1:$A$49,0),MATCH(orders!K$1,products!$A$1:$G$1,0))</f>
        <v>2.5</v>
      </c>
      <c r="L814" s="4">
        <f>INDEX(products!$A$1:$G$49,MATCH(orders!$D814,products!$A$1:$A$49,0),MATCH(orders!L$1,products!$A$1:$G$1,0))</f>
        <v>29.784999999999997</v>
      </c>
      <c r="M814" s="4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hidden="1" x14ac:dyDescent="0.3">
      <c r="A815" s="2" t="s">
        <v>5083</v>
      </c>
      <c r="B815" s="7">
        <v>44173</v>
      </c>
      <c r="C815" s="2" t="s">
        <v>5084</v>
      </c>
      <c r="D815" t="s">
        <v>6165</v>
      </c>
      <c r="E815" s="2">
        <v>1</v>
      </c>
      <c r="F815" s="2" t="str">
        <f>_xlfn.XLOOKUP(C815,customers!$A$1:$A$1001,customers!$B$1:$B$1001,"",0)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6">
        <f>INDEX(products!$A$1:$G$49,MATCH(orders!$D815,products!$A$1:$A$49,0),MATCH(orders!K$1,products!$A$1:$G$1,0))</f>
        <v>2.5</v>
      </c>
      <c r="L815" s="4">
        <f>INDEX(products!$A$1:$G$49,MATCH(orders!$D815,products!$A$1:$A$49,0),MATCH(orders!L$1,products!$A$1:$G$1,0))</f>
        <v>31.624999999999996</v>
      </c>
      <c r="M815" s="4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hidden="1" x14ac:dyDescent="0.3">
      <c r="A816" s="2" t="s">
        <v>5089</v>
      </c>
      <c r="B816" s="7">
        <v>43573</v>
      </c>
      <c r="C816" s="2" t="s">
        <v>5090</v>
      </c>
      <c r="D816" t="s">
        <v>6183</v>
      </c>
      <c r="E816" s="2">
        <v>2</v>
      </c>
      <c r="F816" s="2" t="str">
        <f>_xlfn.XLOOKUP(C816,customers!$A$1:$A$1001,customers!$B$1:$B$1001,"",0)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6">
        <f>INDEX(products!$A$1:$G$49,MATCH(orders!$D816,products!$A$1:$A$49,0),MATCH(orders!K$1,products!$A$1:$G$1,0))</f>
        <v>0.2</v>
      </c>
      <c r="L816" s="4">
        <f>INDEX(products!$A$1:$G$49,MATCH(orders!$D816,products!$A$1:$A$49,0),MATCH(orders!L$1,products!$A$1:$G$1,0))</f>
        <v>4.4550000000000001</v>
      </c>
      <c r="M816" s="4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hidden="1" x14ac:dyDescent="0.3">
      <c r="A817" s="2" t="s">
        <v>5095</v>
      </c>
      <c r="B817" s="7">
        <v>44200</v>
      </c>
      <c r="C817" s="2" t="s">
        <v>5096</v>
      </c>
      <c r="D817" t="s">
        <v>6145</v>
      </c>
      <c r="E817" s="2">
        <v>6</v>
      </c>
      <c r="F817" s="2" t="str">
        <f>_xlfn.XLOOKUP(C817,customers!$A$1:$A$1001,customers!$B$1:$B$1001,"",0)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6">
        <f>INDEX(products!$A$1:$G$49,MATCH(orders!$D817,products!$A$1:$A$49,0),MATCH(orders!K$1,products!$A$1:$G$1,0))</f>
        <v>0.5</v>
      </c>
      <c r="L817" s="4">
        <f>INDEX(products!$A$1:$G$49,MATCH(orders!$D817,products!$A$1:$A$49,0),MATCH(orders!L$1,products!$A$1:$G$1,0))</f>
        <v>5.97</v>
      </c>
      <c r="M817" s="4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hidden="1" x14ac:dyDescent="0.3">
      <c r="A818" s="2" t="s">
        <v>5101</v>
      </c>
      <c r="B818" s="7">
        <v>43534</v>
      </c>
      <c r="C818" s="2" t="s">
        <v>5102</v>
      </c>
      <c r="D818" t="s">
        <v>6160</v>
      </c>
      <c r="E818" s="2">
        <v>4</v>
      </c>
      <c r="F818" s="2" t="str">
        <f>_xlfn.XLOOKUP(C818,customers!$A$1:$A$1001,customers!$B$1:$B$1001,"",0)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6">
        <f>INDEX(products!$A$1:$G$49,MATCH(orders!$D818,products!$A$1:$A$49,0),MATCH(orders!K$1,products!$A$1:$G$1,0))</f>
        <v>0.5</v>
      </c>
      <c r="L818" s="4">
        <f>INDEX(products!$A$1:$G$49,MATCH(orders!$D818,products!$A$1:$A$49,0),MATCH(orders!L$1,products!$A$1:$G$1,0))</f>
        <v>9.51</v>
      </c>
      <c r="M818" s="4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hidden="1" x14ac:dyDescent="0.3">
      <c r="A819" s="2" t="s">
        <v>5106</v>
      </c>
      <c r="B819" s="7">
        <v>43798</v>
      </c>
      <c r="C819" s="2" t="s">
        <v>5107</v>
      </c>
      <c r="D819" t="s">
        <v>6168</v>
      </c>
      <c r="E819" s="2">
        <v>2</v>
      </c>
      <c r="F819" s="2" t="str">
        <f>_xlfn.XLOOKUP(C819,customers!$A$1:$A$1001,customers!$B$1:$B$1001,"",0)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6">
        <f>INDEX(products!$A$1:$G$49,MATCH(orders!$D819,products!$A$1:$A$49,0),MATCH(orders!K$1,products!$A$1:$G$1,0))</f>
        <v>0.5</v>
      </c>
      <c r="L819" s="4">
        <f>INDEX(products!$A$1:$G$49,MATCH(orders!$D819,products!$A$1:$A$49,0),MATCH(orders!L$1,products!$A$1:$G$1,0))</f>
        <v>7.77</v>
      </c>
      <c r="M819" s="4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3">
      <c r="A820" s="2" t="s">
        <v>5111</v>
      </c>
      <c r="B820" s="7">
        <v>44761</v>
      </c>
      <c r="C820" s="2" t="s">
        <v>5112</v>
      </c>
      <c r="D820" t="s">
        <v>6169</v>
      </c>
      <c r="E820" s="2">
        <v>5</v>
      </c>
      <c r="F820" s="2" t="str">
        <f>_xlfn.XLOOKUP(C820,customers!$A$1:$A$1001,customers!$B$1:$B$1001,"",0)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6">
        <f>INDEX(products!$A$1:$G$49,MATCH(orders!$D820,products!$A$1:$A$49,0),MATCH(orders!K$1,products!$A$1:$G$1,0))</f>
        <v>1</v>
      </c>
      <c r="L820" s="4">
        <f>INDEX(products!$A$1:$G$49,MATCH(orders!$D820,products!$A$1:$A$49,0),MATCH(orders!L$1,products!$A$1:$G$1,0))</f>
        <v>15.85</v>
      </c>
      <c r="M820" s="4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hidden="1" x14ac:dyDescent="0.3">
      <c r="A821" s="2" t="s">
        <v>5116</v>
      </c>
      <c r="B821" s="7">
        <v>44008</v>
      </c>
      <c r="C821" s="2" t="s">
        <v>5117</v>
      </c>
      <c r="D821" t="s">
        <v>6144</v>
      </c>
      <c r="E821" s="2">
        <v>1</v>
      </c>
      <c r="F821" s="2" t="str">
        <f>_xlfn.XLOOKUP(C821,customers!$A$1:$A$1001,customers!$B$1:$B$1001,"",0)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6">
        <f>INDEX(products!$A$1:$G$49,MATCH(orders!$D821,products!$A$1:$A$49,0),MATCH(orders!K$1,products!$A$1:$G$1,0))</f>
        <v>0.2</v>
      </c>
      <c r="L821" s="4">
        <f>INDEX(products!$A$1:$G$49,MATCH(orders!$D821,products!$A$1:$A$49,0),MATCH(orders!L$1,products!$A$1:$G$1,0))</f>
        <v>4.7549999999999999</v>
      </c>
      <c r="M821" s="4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hidden="1" x14ac:dyDescent="0.3">
      <c r="A822" s="2" t="s">
        <v>5122</v>
      </c>
      <c r="B822" s="7">
        <v>43510</v>
      </c>
      <c r="C822" s="2" t="s">
        <v>5123</v>
      </c>
      <c r="D822" t="s">
        <v>6140</v>
      </c>
      <c r="E822" s="2">
        <v>4</v>
      </c>
      <c r="F822" s="2" t="str">
        <f>_xlfn.XLOOKUP(C822,customers!$A$1:$A$1001,customers!$B$1:$B$1001,"",0)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6">
        <f>INDEX(products!$A$1:$G$49,MATCH(orders!$D822,products!$A$1:$A$49,0),MATCH(orders!K$1,products!$A$1:$G$1,0))</f>
        <v>1</v>
      </c>
      <c r="L822" s="4">
        <f>INDEX(products!$A$1:$G$49,MATCH(orders!$D822,products!$A$1:$A$49,0),MATCH(orders!L$1,products!$A$1:$G$1,0))</f>
        <v>13.75</v>
      </c>
      <c r="M822" s="4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hidden="1" x14ac:dyDescent="0.3">
      <c r="A823" s="2" t="s">
        <v>5128</v>
      </c>
      <c r="B823" s="7">
        <v>44144</v>
      </c>
      <c r="C823" s="2" t="s">
        <v>5129</v>
      </c>
      <c r="D823" t="s">
        <v>6171</v>
      </c>
      <c r="E823" s="2">
        <v>5</v>
      </c>
      <c r="F823" s="2" t="str">
        <f>_xlfn.XLOOKUP(C823,customers!$A$1:$A$1001,customers!$B$1:$B$1001,"",0)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6">
        <f>INDEX(products!$A$1:$G$49,MATCH(orders!$D823,products!$A$1:$A$49,0),MATCH(orders!K$1,products!$A$1:$G$1,0))</f>
        <v>0.5</v>
      </c>
      <c r="L823" s="4">
        <f>INDEX(products!$A$1:$G$49,MATCH(orders!$D823,products!$A$1:$A$49,0),MATCH(orders!L$1,products!$A$1:$G$1,0))</f>
        <v>5.3699999999999992</v>
      </c>
      <c r="M823" s="4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hidden="1" x14ac:dyDescent="0.3">
      <c r="A824" s="2" t="s">
        <v>5134</v>
      </c>
      <c r="B824" s="7">
        <v>43585</v>
      </c>
      <c r="C824" s="2" t="s">
        <v>5135</v>
      </c>
      <c r="D824" t="s">
        <v>6147</v>
      </c>
      <c r="E824" s="2">
        <v>4</v>
      </c>
      <c r="F824" s="2" t="str">
        <f>_xlfn.XLOOKUP(C824,customers!$A$1:$A$1001,customers!$B$1:$B$1001,"",0)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6">
        <f>INDEX(products!$A$1:$G$49,MATCH(orders!$D824,products!$A$1:$A$49,0),MATCH(orders!K$1,products!$A$1:$G$1,0))</f>
        <v>2.5</v>
      </c>
      <c r="L824" s="4">
        <f>INDEX(products!$A$1:$G$49,MATCH(orders!$D824,products!$A$1:$A$49,0),MATCH(orders!L$1,products!$A$1:$G$1,0))</f>
        <v>34.154999999999994</v>
      </c>
      <c r="M824" s="4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hidden="1" x14ac:dyDescent="0.3">
      <c r="A825" s="2" t="s">
        <v>5140</v>
      </c>
      <c r="B825" s="7">
        <v>44134</v>
      </c>
      <c r="C825" s="2" t="s">
        <v>5141</v>
      </c>
      <c r="D825" t="s">
        <v>6169</v>
      </c>
      <c r="E825" s="2">
        <v>3</v>
      </c>
      <c r="F825" s="2" t="str">
        <f>_xlfn.XLOOKUP(C825,customers!$A$1:$A$1001,customers!$B$1:$B$1001,"",0)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6">
        <f>INDEX(products!$A$1:$G$49,MATCH(orders!$D825,products!$A$1:$A$49,0),MATCH(orders!K$1,products!$A$1:$G$1,0))</f>
        <v>1</v>
      </c>
      <c r="L825" s="4">
        <f>INDEX(products!$A$1:$G$49,MATCH(orders!$D825,products!$A$1:$A$49,0),MATCH(orders!L$1,products!$A$1:$G$1,0))</f>
        <v>15.85</v>
      </c>
      <c r="M825" s="4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hidden="1" x14ac:dyDescent="0.3">
      <c r="A826" s="2" t="s">
        <v>5146</v>
      </c>
      <c r="B826" s="7">
        <v>43781</v>
      </c>
      <c r="C826" s="2" t="s">
        <v>5147</v>
      </c>
      <c r="D826" t="s">
        <v>6151</v>
      </c>
      <c r="E826" s="2">
        <v>5</v>
      </c>
      <c r="F826" s="2" t="str">
        <f>_xlfn.XLOOKUP(C826,customers!$A$1:$A$1001,customers!$B$1:$B$1001,"",0)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6">
        <f>INDEX(products!$A$1:$G$49,MATCH(orders!$D826,products!$A$1:$A$49,0),MATCH(orders!K$1,products!$A$1:$G$1,0))</f>
        <v>0.2</v>
      </c>
      <c r="L826" s="4">
        <f>INDEX(products!$A$1:$G$49,MATCH(orders!$D826,products!$A$1:$A$49,0),MATCH(orders!L$1,products!$A$1:$G$1,0))</f>
        <v>3.375</v>
      </c>
      <c r="M826" s="4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3">
      <c r="A827" s="2" t="s">
        <v>5151</v>
      </c>
      <c r="B827" s="7">
        <v>44603</v>
      </c>
      <c r="C827" s="2" t="s">
        <v>5187</v>
      </c>
      <c r="D827" t="s">
        <v>6146</v>
      </c>
      <c r="E827" s="2">
        <v>3</v>
      </c>
      <c r="F827" s="2" t="str">
        <f>_xlfn.XLOOKUP(C827,customers!$A$1:$A$1001,customers!$B$1:$B$1001,"",0)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6">
        <f>INDEX(products!$A$1:$G$49,MATCH(orders!$D827,products!$A$1:$A$49,0),MATCH(orders!K$1,products!$A$1:$G$1,0))</f>
        <v>1</v>
      </c>
      <c r="L827" s="4">
        <f>INDEX(products!$A$1:$G$49,MATCH(orders!$D827,products!$A$1:$A$49,0),MATCH(orders!L$1,products!$A$1:$G$1,0))</f>
        <v>9.9499999999999993</v>
      </c>
      <c r="M827" s="4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hidden="1" x14ac:dyDescent="0.3">
      <c r="A828" s="2" t="s">
        <v>5157</v>
      </c>
      <c r="B828" s="7">
        <v>44283</v>
      </c>
      <c r="C828" s="2" t="s">
        <v>5158</v>
      </c>
      <c r="D828" t="s">
        <v>6138</v>
      </c>
      <c r="E828" s="2">
        <v>5</v>
      </c>
      <c r="F828" s="2" t="str">
        <f>_xlfn.XLOOKUP(C828,customers!$A$1:$A$1001,customers!$B$1:$B$1001,"",0)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6">
        <f>INDEX(products!$A$1:$G$49,MATCH(orders!$D828,products!$A$1:$A$49,0),MATCH(orders!K$1,products!$A$1:$G$1,0))</f>
        <v>0.5</v>
      </c>
      <c r="L828" s="4">
        <f>INDEX(products!$A$1:$G$49,MATCH(orders!$D828,products!$A$1:$A$49,0),MATCH(orders!L$1,products!$A$1:$G$1,0))</f>
        <v>8.25</v>
      </c>
      <c r="M828" s="4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hidden="1" x14ac:dyDescent="0.3">
      <c r="A829" s="2" t="s">
        <v>5163</v>
      </c>
      <c r="B829" s="7">
        <v>44540</v>
      </c>
      <c r="C829" s="2" t="s">
        <v>5164</v>
      </c>
      <c r="D829" t="s">
        <v>6155</v>
      </c>
      <c r="E829" s="2">
        <v>5</v>
      </c>
      <c r="F829" s="2" t="str">
        <f>_xlfn.XLOOKUP(C829,customers!$A$1:$A$1001,customers!$B$1:$B$1001,"",0)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6">
        <f>INDEX(products!$A$1:$G$49,MATCH(orders!$D829,products!$A$1:$A$49,0),MATCH(orders!K$1,products!$A$1:$G$1,0))</f>
        <v>0.2</v>
      </c>
      <c r="L829" s="4">
        <f>INDEX(products!$A$1:$G$49,MATCH(orders!$D829,products!$A$1:$A$49,0),MATCH(orders!L$1,products!$A$1:$G$1,0))</f>
        <v>4.125</v>
      </c>
      <c r="M829" s="4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hidden="1" x14ac:dyDescent="0.3">
      <c r="A830" s="2" t="s">
        <v>5169</v>
      </c>
      <c r="B830" s="7">
        <v>44505</v>
      </c>
      <c r="C830" s="2" t="s">
        <v>5170</v>
      </c>
      <c r="D830" t="s">
        <v>6167</v>
      </c>
      <c r="E830" s="2">
        <v>6</v>
      </c>
      <c r="F830" s="2" t="str">
        <f>_xlfn.XLOOKUP(C830,customers!$A$1:$A$1001,customers!$B$1:$B$1001,"",0)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6">
        <f>INDEX(products!$A$1:$G$49,MATCH(orders!$D830,products!$A$1:$A$49,0),MATCH(orders!K$1,products!$A$1:$G$1,0))</f>
        <v>2.5</v>
      </c>
      <c r="L830" s="4">
        <f>INDEX(products!$A$1:$G$49,MATCH(orders!$D830,products!$A$1:$A$49,0),MATCH(orders!L$1,products!$A$1:$G$1,0))</f>
        <v>22.884999999999998</v>
      </c>
      <c r="M830" s="4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hidden="1" x14ac:dyDescent="0.3">
      <c r="A831" s="2" t="s">
        <v>5175</v>
      </c>
      <c r="B831" s="7">
        <v>43890</v>
      </c>
      <c r="C831" s="2" t="s">
        <v>5176</v>
      </c>
      <c r="D831" t="s">
        <v>6153</v>
      </c>
      <c r="E831" s="2">
        <v>1</v>
      </c>
      <c r="F831" s="2" t="str">
        <f>_xlfn.XLOOKUP(C831,customers!$A$1:$A$1001,customers!$B$1:$B$1001,"",0)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6">
        <f>INDEX(products!$A$1:$G$49,MATCH(orders!$D831,products!$A$1:$A$49,0),MATCH(orders!K$1,products!$A$1:$G$1,0))</f>
        <v>0.2</v>
      </c>
      <c r="L831" s="4">
        <f>INDEX(products!$A$1:$G$49,MATCH(orders!$D831,products!$A$1:$A$49,0),MATCH(orders!L$1,products!$A$1:$G$1,0))</f>
        <v>2.9849999999999999</v>
      </c>
      <c r="M831" s="4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hidden="1" x14ac:dyDescent="0.3">
      <c r="A832" s="2" t="s">
        <v>5181</v>
      </c>
      <c r="B832" s="7">
        <v>44414</v>
      </c>
      <c r="C832" s="2" t="s">
        <v>5182</v>
      </c>
      <c r="D832" t="s">
        <v>6140</v>
      </c>
      <c r="E832" s="2">
        <v>2</v>
      </c>
      <c r="F832" s="2" t="str">
        <f>_xlfn.XLOOKUP(C832,customers!$A$1:$A$1001,customers!$B$1:$B$1001,"",0)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6">
        <f>INDEX(products!$A$1:$G$49,MATCH(orders!$D832,products!$A$1:$A$49,0),MATCH(orders!K$1,products!$A$1:$G$1,0))</f>
        <v>1</v>
      </c>
      <c r="L832" s="4">
        <f>INDEX(products!$A$1:$G$49,MATCH(orders!$D832,products!$A$1:$A$49,0),MATCH(orders!L$1,products!$A$1:$G$1,0))</f>
        <v>13.75</v>
      </c>
      <c r="M832" s="4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hidden="1" x14ac:dyDescent="0.3">
      <c r="A833" s="2" t="s">
        <v>5181</v>
      </c>
      <c r="B833" s="7">
        <v>44414</v>
      </c>
      <c r="C833" s="2" t="s">
        <v>5182</v>
      </c>
      <c r="D833" t="s">
        <v>6153</v>
      </c>
      <c r="E833" s="2">
        <v>2</v>
      </c>
      <c r="F833" s="2" t="str">
        <f>_xlfn.XLOOKUP(C833,customers!$A$1:$A$1001,customers!$B$1:$B$1001,"",0)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6">
        <f>INDEX(products!$A$1:$G$49,MATCH(orders!$D833,products!$A$1:$A$49,0),MATCH(orders!K$1,products!$A$1:$G$1,0))</f>
        <v>0.2</v>
      </c>
      <c r="L833" s="4">
        <f>INDEX(products!$A$1:$G$49,MATCH(orders!$D833,products!$A$1:$A$49,0),MATCH(orders!L$1,products!$A$1:$G$1,0))</f>
        <v>2.9849999999999999</v>
      </c>
      <c r="M833" s="4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hidden="1" x14ac:dyDescent="0.3">
      <c r="A834" s="2" t="s">
        <v>5192</v>
      </c>
      <c r="B834" s="7">
        <v>44274</v>
      </c>
      <c r="C834" s="2" t="s">
        <v>5193</v>
      </c>
      <c r="D834" t="s">
        <v>6137</v>
      </c>
      <c r="E834" s="2">
        <v>6</v>
      </c>
      <c r="F834" s="2" t="str">
        <f>_xlfn.XLOOKUP(C834,customers!$A$1:$A$1001,customers!$B$1:$B$1001,"",0)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6">
        <f>INDEX(products!$A$1:$G$49,MATCH(orders!$D834,products!$A$1:$A$49,0),MATCH(orders!K$1,products!$A$1:$G$1,0))</f>
        <v>1</v>
      </c>
      <c r="L834" s="4">
        <f>INDEX(products!$A$1:$G$49,MATCH(orders!$D834,products!$A$1:$A$49,0),MATCH(orders!L$1,products!$A$1:$G$1,0))</f>
        <v>9.9499999999999993</v>
      </c>
      <c r="M834" s="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hidden="1" x14ac:dyDescent="0.3">
      <c r="A835" s="2" t="s">
        <v>5198</v>
      </c>
      <c r="B835" s="7">
        <v>44302</v>
      </c>
      <c r="C835" s="2" t="s">
        <v>5199</v>
      </c>
      <c r="D835" t="s">
        <v>6148</v>
      </c>
      <c r="E835" s="2">
        <v>4</v>
      </c>
      <c r="F835" s="2" t="str">
        <f>_xlfn.XLOOKUP(C835,customers!$A$1:$A$1001,customers!$B$1:$B$1001,"",0)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6">
        <f>INDEX(products!$A$1:$G$49,MATCH(orders!$D835,products!$A$1:$A$49,0),MATCH(orders!K$1,products!$A$1:$G$1,0))</f>
        <v>2.5</v>
      </c>
      <c r="L835" s="4">
        <f>INDEX(products!$A$1:$G$49,MATCH(orders!$D835,products!$A$1:$A$49,0),MATCH(orders!L$1,products!$A$1:$G$1,0))</f>
        <v>20.584999999999997</v>
      </c>
      <c r="M835" s="4">
        <f t="shared" ref="M835:M898" si="39">E835*L835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hidden="1" x14ac:dyDescent="0.3">
      <c r="A836" s="2" t="s">
        <v>5204</v>
      </c>
      <c r="B836" s="7">
        <v>44141</v>
      </c>
      <c r="C836" s="2" t="s">
        <v>5205</v>
      </c>
      <c r="D836" t="s">
        <v>6167</v>
      </c>
      <c r="E836" s="2">
        <v>1</v>
      </c>
      <c r="F836" s="2" t="str">
        <f>_xlfn.XLOOKUP(C836,customers!$A$1:$A$1001,customers!$B$1:$B$1001,"",0)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6">
        <f>INDEX(products!$A$1:$G$49,MATCH(orders!$D836,products!$A$1:$A$49,0),MATCH(orders!K$1,products!$A$1:$G$1,0))</f>
        <v>2.5</v>
      </c>
      <c r="L836" s="4">
        <f>INDEX(products!$A$1:$G$49,MATCH(orders!$D836,products!$A$1:$A$49,0),MATCH(orders!L$1,products!$A$1:$G$1,0))</f>
        <v>22.884999999999998</v>
      </c>
      <c r="M836" s="4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hidden="1" x14ac:dyDescent="0.3">
      <c r="A837" s="2" t="s">
        <v>5210</v>
      </c>
      <c r="B837" s="7">
        <v>44270</v>
      </c>
      <c r="C837" s="2" t="s">
        <v>5211</v>
      </c>
      <c r="D837" t="s">
        <v>6175</v>
      </c>
      <c r="E837" s="2">
        <v>1</v>
      </c>
      <c r="F837" s="2" t="str">
        <f>_xlfn.XLOOKUP(C837,customers!$A$1:$A$1001,customers!$B$1:$B$1001,"",0)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6">
        <f>INDEX(products!$A$1:$G$49,MATCH(orders!$D837,products!$A$1:$A$49,0),MATCH(orders!K$1,products!$A$1:$G$1,0))</f>
        <v>0.5</v>
      </c>
      <c r="L837" s="4">
        <f>INDEX(products!$A$1:$G$49,MATCH(orders!$D837,products!$A$1:$A$49,0),MATCH(orders!L$1,products!$A$1:$G$1,0))</f>
        <v>8.91</v>
      </c>
      <c r="M837" s="4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hidden="1" x14ac:dyDescent="0.3">
      <c r="A838" s="2" t="s">
        <v>5215</v>
      </c>
      <c r="B838" s="7">
        <v>44486</v>
      </c>
      <c r="C838" s="2" t="s">
        <v>5216</v>
      </c>
      <c r="D838" t="s">
        <v>6153</v>
      </c>
      <c r="E838" s="2">
        <v>4</v>
      </c>
      <c r="F838" s="2" t="str">
        <f>_xlfn.XLOOKUP(C838,customers!$A$1:$A$1001,customers!$B$1:$B$1001,"",0)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6">
        <f>INDEX(products!$A$1:$G$49,MATCH(orders!$D838,products!$A$1:$A$49,0),MATCH(orders!K$1,products!$A$1:$G$1,0))</f>
        <v>0.2</v>
      </c>
      <c r="L838" s="4">
        <f>INDEX(products!$A$1:$G$49,MATCH(orders!$D838,products!$A$1:$A$49,0),MATCH(orders!L$1,products!$A$1:$G$1,0))</f>
        <v>2.9849999999999999</v>
      </c>
      <c r="M838" s="4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hidden="1" x14ac:dyDescent="0.3">
      <c r="A839" s="2" t="s">
        <v>5221</v>
      </c>
      <c r="B839" s="7">
        <v>43715</v>
      </c>
      <c r="C839" s="2" t="s">
        <v>5112</v>
      </c>
      <c r="D839" t="s">
        <v>6180</v>
      </c>
      <c r="E839" s="2">
        <v>3</v>
      </c>
      <c r="F839" s="2" t="str">
        <f>_xlfn.XLOOKUP(C839,customers!$A$1:$A$1001,customers!$B$1:$B$1001,"",0)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6">
        <f>INDEX(products!$A$1:$G$49,MATCH(orders!$D839,products!$A$1:$A$49,0),MATCH(orders!K$1,products!$A$1:$G$1,0))</f>
        <v>2.5</v>
      </c>
      <c r="L839" s="4">
        <f>INDEX(products!$A$1:$G$49,MATCH(orders!$D839,products!$A$1:$A$49,0),MATCH(orders!L$1,products!$A$1:$G$1,0))</f>
        <v>33.464999999999996</v>
      </c>
      <c r="M839" s="4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3">
      <c r="A840" s="2" t="s">
        <v>5227</v>
      </c>
      <c r="B840" s="7">
        <v>44755</v>
      </c>
      <c r="C840" s="2" t="s">
        <v>5228</v>
      </c>
      <c r="D840" t="s">
        <v>6167</v>
      </c>
      <c r="E840" s="2">
        <v>5</v>
      </c>
      <c r="F840" s="2" t="str">
        <f>_xlfn.XLOOKUP(C840,customers!$A$1:$A$1001,customers!$B$1:$B$1001,"",0)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6">
        <f>INDEX(products!$A$1:$G$49,MATCH(orders!$D840,products!$A$1:$A$49,0),MATCH(orders!K$1,products!$A$1:$G$1,0))</f>
        <v>2.5</v>
      </c>
      <c r="L840" s="4">
        <f>INDEX(products!$A$1:$G$49,MATCH(orders!$D840,products!$A$1:$A$49,0),MATCH(orders!L$1,products!$A$1:$G$1,0))</f>
        <v>22.884999999999998</v>
      </c>
      <c r="M840" s="4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hidden="1" x14ac:dyDescent="0.3">
      <c r="A841" s="2" t="s">
        <v>5233</v>
      </c>
      <c r="B841" s="7">
        <v>44521</v>
      </c>
      <c r="C841" s="2" t="s">
        <v>5234</v>
      </c>
      <c r="D841" t="s">
        <v>6138</v>
      </c>
      <c r="E841" s="2">
        <v>5</v>
      </c>
      <c r="F841" s="2" t="str">
        <f>_xlfn.XLOOKUP(C841,customers!$A$1:$A$1001,customers!$B$1:$B$1001,"",0)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6">
        <f>INDEX(products!$A$1:$G$49,MATCH(orders!$D841,products!$A$1:$A$49,0),MATCH(orders!K$1,products!$A$1:$G$1,0))</f>
        <v>0.5</v>
      </c>
      <c r="L841" s="4">
        <f>INDEX(products!$A$1:$G$49,MATCH(orders!$D841,products!$A$1:$A$49,0),MATCH(orders!L$1,products!$A$1:$G$1,0))</f>
        <v>8.25</v>
      </c>
      <c r="M841" s="4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3">
      <c r="A842" s="2" t="s">
        <v>5239</v>
      </c>
      <c r="B842" s="7">
        <v>44574</v>
      </c>
      <c r="C842" s="2" t="s">
        <v>5240</v>
      </c>
      <c r="D842" t="s">
        <v>6172</v>
      </c>
      <c r="E842" s="2">
        <v>4</v>
      </c>
      <c r="F842" s="2" t="str">
        <f>_xlfn.XLOOKUP(C842,customers!$A$1:$A$1001,customers!$B$1:$B$1001,"",0)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6">
        <f>INDEX(products!$A$1:$G$49,MATCH(orders!$D842,products!$A$1:$A$49,0),MATCH(orders!K$1,products!$A$1:$G$1,0))</f>
        <v>0.5</v>
      </c>
      <c r="L842" s="4">
        <f>INDEX(products!$A$1:$G$49,MATCH(orders!$D842,products!$A$1:$A$49,0),MATCH(orders!L$1,products!$A$1:$G$1,0))</f>
        <v>7.169999999999999</v>
      </c>
      <c r="M842" s="4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3">
      <c r="A843" s="2" t="s">
        <v>5245</v>
      </c>
      <c r="B843" s="7">
        <v>44755</v>
      </c>
      <c r="C843" s="2" t="s">
        <v>5246</v>
      </c>
      <c r="D843" t="s">
        <v>6158</v>
      </c>
      <c r="E843" s="2">
        <v>1</v>
      </c>
      <c r="F843" s="2" t="str">
        <f>_xlfn.XLOOKUP(C843,customers!$A$1:$A$1001,customers!$B$1:$B$1001,"",0)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6">
        <f>INDEX(products!$A$1:$G$49,MATCH(orders!$D843,products!$A$1:$A$49,0),MATCH(orders!K$1,products!$A$1:$G$1,0))</f>
        <v>0.2</v>
      </c>
      <c r="L843" s="4">
        <f>INDEX(products!$A$1:$G$49,MATCH(orders!$D843,products!$A$1:$A$49,0),MATCH(orders!L$1,products!$A$1:$G$1,0))</f>
        <v>4.3650000000000002</v>
      </c>
      <c r="M843" s="4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hidden="1" x14ac:dyDescent="0.3">
      <c r="A844" s="2" t="s">
        <v>5250</v>
      </c>
      <c r="B844" s="7">
        <v>44502</v>
      </c>
      <c r="C844" s="2" t="s">
        <v>5187</v>
      </c>
      <c r="D844" t="s">
        <v>6155</v>
      </c>
      <c r="E844" s="2">
        <v>2</v>
      </c>
      <c r="F844" s="2" t="str">
        <f>_xlfn.XLOOKUP(C844,customers!$A$1:$A$1001,customers!$B$1:$B$1001,"",0)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6">
        <f>INDEX(products!$A$1:$G$49,MATCH(orders!$D844,products!$A$1:$A$49,0),MATCH(orders!K$1,products!$A$1:$G$1,0))</f>
        <v>0.2</v>
      </c>
      <c r="L844" s="4">
        <f>INDEX(products!$A$1:$G$49,MATCH(orders!$D844,products!$A$1:$A$49,0),MATCH(orders!L$1,products!$A$1:$G$1,0))</f>
        <v>4.125</v>
      </c>
      <c r="M844" s="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hidden="1" x14ac:dyDescent="0.3">
      <c r="A845" s="2" t="s">
        <v>5255</v>
      </c>
      <c r="B845" s="7">
        <v>44387</v>
      </c>
      <c r="C845" s="2" t="s">
        <v>5256</v>
      </c>
      <c r="D845" t="s">
        <v>6155</v>
      </c>
      <c r="E845" s="2">
        <v>2</v>
      </c>
      <c r="F845" s="2" t="str">
        <f>_xlfn.XLOOKUP(C845,customers!$A$1:$A$1001,customers!$B$1:$B$1001,"",0)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6">
        <f>INDEX(products!$A$1:$G$49,MATCH(orders!$D845,products!$A$1:$A$49,0),MATCH(orders!K$1,products!$A$1:$G$1,0))</f>
        <v>0.2</v>
      </c>
      <c r="L845" s="4">
        <f>INDEX(products!$A$1:$G$49,MATCH(orders!$D845,products!$A$1:$A$49,0),MATCH(orders!L$1,products!$A$1:$G$1,0))</f>
        <v>4.125</v>
      </c>
      <c r="M845" s="4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hidden="1" x14ac:dyDescent="0.3">
      <c r="A846" s="2" t="s">
        <v>5261</v>
      </c>
      <c r="B846" s="7">
        <v>44476</v>
      </c>
      <c r="C846" s="2" t="s">
        <v>5262</v>
      </c>
      <c r="D846" t="s">
        <v>6157</v>
      </c>
      <c r="E846" s="2">
        <v>6</v>
      </c>
      <c r="F846" s="2" t="str">
        <f>_xlfn.XLOOKUP(C846,customers!$A$1:$A$1001,customers!$B$1:$B$1001,"",0)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6">
        <f>INDEX(products!$A$1:$G$49,MATCH(orders!$D846,products!$A$1:$A$49,0),MATCH(orders!K$1,products!$A$1:$G$1,0))</f>
        <v>0.5</v>
      </c>
      <c r="L846" s="4">
        <f>INDEX(products!$A$1:$G$49,MATCH(orders!$D846,products!$A$1:$A$49,0),MATCH(orders!L$1,products!$A$1:$G$1,0))</f>
        <v>5.97</v>
      </c>
      <c r="M846" s="4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hidden="1" x14ac:dyDescent="0.3">
      <c r="A847" s="2" t="s">
        <v>5267</v>
      </c>
      <c r="B847" s="7">
        <v>43889</v>
      </c>
      <c r="C847" s="2" t="s">
        <v>5268</v>
      </c>
      <c r="D847" t="s">
        <v>6184</v>
      </c>
      <c r="E847" s="2">
        <v>6</v>
      </c>
      <c r="F847" s="2" t="str">
        <f>_xlfn.XLOOKUP(C847,customers!$A$1:$A$1001,customers!$B$1:$B$1001,"",0)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6">
        <f>INDEX(products!$A$1:$G$49,MATCH(orders!$D847,products!$A$1:$A$49,0),MATCH(orders!K$1,products!$A$1:$G$1,0))</f>
        <v>2.5</v>
      </c>
      <c r="L847" s="4">
        <f>INDEX(products!$A$1:$G$49,MATCH(orders!$D847,products!$A$1:$A$49,0),MATCH(orders!L$1,products!$A$1:$G$1,0))</f>
        <v>27.945</v>
      </c>
      <c r="M847" s="4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3">
      <c r="A848" s="2" t="s">
        <v>5272</v>
      </c>
      <c r="B848" s="7">
        <v>44747</v>
      </c>
      <c r="C848" s="2" t="s">
        <v>5273</v>
      </c>
      <c r="D848" t="s">
        <v>6174</v>
      </c>
      <c r="E848" s="2">
        <v>2</v>
      </c>
      <c r="F848" s="2" t="str">
        <f>_xlfn.XLOOKUP(C848,customers!$A$1:$A$1001,customers!$B$1:$B$1001,"",0)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6">
        <f>INDEX(products!$A$1:$G$49,MATCH(orders!$D848,products!$A$1:$A$49,0),MATCH(orders!K$1,products!$A$1:$G$1,0))</f>
        <v>2.5</v>
      </c>
      <c r="L848" s="4">
        <f>INDEX(products!$A$1:$G$49,MATCH(orders!$D848,products!$A$1:$A$49,0),MATCH(orders!L$1,products!$A$1:$G$1,0))</f>
        <v>25.874999999999996</v>
      </c>
      <c r="M848" s="4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hidden="1" x14ac:dyDescent="0.3">
      <c r="A849" s="2" t="s">
        <v>5277</v>
      </c>
      <c r="B849" s="7">
        <v>44460</v>
      </c>
      <c r="C849" s="2" t="s">
        <v>5278</v>
      </c>
      <c r="D849" t="s">
        <v>6153</v>
      </c>
      <c r="E849" s="2">
        <v>3</v>
      </c>
      <c r="F849" s="2" t="str">
        <f>_xlfn.XLOOKUP(C849,customers!$A$1:$A$1001,customers!$B$1:$B$1001,"",0)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6">
        <f>INDEX(products!$A$1:$G$49,MATCH(orders!$D849,products!$A$1:$A$49,0),MATCH(orders!K$1,products!$A$1:$G$1,0))</f>
        <v>0.2</v>
      </c>
      <c r="L849" s="4">
        <f>INDEX(products!$A$1:$G$49,MATCH(orders!$D849,products!$A$1:$A$49,0),MATCH(orders!L$1,products!$A$1:$G$1,0))</f>
        <v>2.9849999999999999</v>
      </c>
      <c r="M849" s="4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hidden="1" x14ac:dyDescent="0.3">
      <c r="A850" s="2" t="s">
        <v>5282</v>
      </c>
      <c r="B850" s="7">
        <v>43468</v>
      </c>
      <c r="C850" s="2" t="s">
        <v>5283</v>
      </c>
      <c r="D850" t="s">
        <v>6175</v>
      </c>
      <c r="E850" s="2">
        <v>6</v>
      </c>
      <c r="F850" s="2" t="str">
        <f>_xlfn.XLOOKUP(C850,customers!$A$1:$A$1001,customers!$B$1:$B$1001,"",0)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6">
        <f>INDEX(products!$A$1:$G$49,MATCH(orders!$D850,products!$A$1:$A$49,0),MATCH(orders!K$1,products!$A$1:$G$1,0))</f>
        <v>0.5</v>
      </c>
      <c r="L850" s="4">
        <f>INDEX(products!$A$1:$G$49,MATCH(orders!$D850,products!$A$1:$A$49,0),MATCH(orders!L$1,products!$A$1:$G$1,0))</f>
        <v>8.91</v>
      </c>
      <c r="M850" s="4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3">
      <c r="A851" s="2" t="s">
        <v>5287</v>
      </c>
      <c r="B851" s="7">
        <v>44628</v>
      </c>
      <c r="C851" s="2" t="s">
        <v>5288</v>
      </c>
      <c r="D851" t="s">
        <v>6166</v>
      </c>
      <c r="E851" s="2">
        <v>6</v>
      </c>
      <c r="F851" s="2" t="str">
        <f>_xlfn.XLOOKUP(C851,customers!$A$1:$A$1001,customers!$B$1:$B$1001,"",0)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6">
        <f>INDEX(products!$A$1:$G$49,MATCH(orders!$D851,products!$A$1:$A$49,0),MATCH(orders!K$1,products!$A$1:$G$1,0))</f>
        <v>0.2</v>
      </c>
      <c r="L851" s="4">
        <f>INDEX(products!$A$1:$G$49,MATCH(orders!$D851,products!$A$1:$A$49,0),MATCH(orders!L$1,products!$A$1:$G$1,0))</f>
        <v>3.8849999999999998</v>
      </c>
      <c r="M851" s="4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3">
      <c r="A852" s="2" t="s">
        <v>5287</v>
      </c>
      <c r="B852" s="7">
        <v>44628</v>
      </c>
      <c r="C852" s="2" t="s">
        <v>5288</v>
      </c>
      <c r="D852" t="s">
        <v>6151</v>
      </c>
      <c r="E852" s="2">
        <v>2</v>
      </c>
      <c r="F852" s="2" t="str">
        <f>_xlfn.XLOOKUP(C852,customers!$A$1:$A$1001,customers!$B$1:$B$1001,"",0)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6">
        <f>INDEX(products!$A$1:$G$49,MATCH(orders!$D852,products!$A$1:$A$49,0),MATCH(orders!K$1,products!$A$1:$G$1,0))</f>
        <v>0.2</v>
      </c>
      <c r="L852" s="4">
        <f>INDEX(products!$A$1:$G$49,MATCH(orders!$D852,products!$A$1:$A$49,0),MATCH(orders!L$1,products!$A$1:$G$1,0))</f>
        <v>3.375</v>
      </c>
      <c r="M852" s="4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hidden="1" x14ac:dyDescent="0.3">
      <c r="A853" s="2" t="s">
        <v>5298</v>
      </c>
      <c r="B853" s="7">
        <v>43900</v>
      </c>
      <c r="C853" s="2" t="s">
        <v>5299</v>
      </c>
      <c r="D853" t="s">
        <v>6168</v>
      </c>
      <c r="E853" s="2">
        <v>1</v>
      </c>
      <c r="F853" s="2" t="str">
        <f>_xlfn.XLOOKUP(C853,customers!$A$1:$A$1001,customers!$B$1:$B$1001,"",0)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6">
        <f>INDEX(products!$A$1:$G$49,MATCH(orders!$D853,products!$A$1:$A$49,0),MATCH(orders!K$1,products!$A$1:$G$1,0))</f>
        <v>0.5</v>
      </c>
      <c r="L853" s="4">
        <f>INDEX(products!$A$1:$G$49,MATCH(orders!$D853,products!$A$1:$A$49,0),MATCH(orders!L$1,products!$A$1:$G$1,0))</f>
        <v>7.77</v>
      </c>
      <c r="M853" s="4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hidden="1" x14ac:dyDescent="0.3">
      <c r="A854" s="2" t="s">
        <v>5304</v>
      </c>
      <c r="B854" s="7">
        <v>44527</v>
      </c>
      <c r="C854" s="2" t="s">
        <v>5305</v>
      </c>
      <c r="D854" t="s">
        <v>6164</v>
      </c>
      <c r="E854" s="2">
        <v>4</v>
      </c>
      <c r="F854" s="2" t="str">
        <f>_xlfn.XLOOKUP(C854,customers!$A$1:$A$1001,customers!$B$1:$B$1001,"",0)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6">
        <f>INDEX(products!$A$1:$G$49,MATCH(orders!$D854,products!$A$1:$A$49,0),MATCH(orders!K$1,products!$A$1:$G$1,0))</f>
        <v>2.5</v>
      </c>
      <c r="L854" s="4">
        <f>INDEX(products!$A$1:$G$49,MATCH(orders!$D854,products!$A$1:$A$49,0),MATCH(orders!L$1,products!$A$1:$G$1,0))</f>
        <v>29.784999999999997</v>
      </c>
      <c r="M854" s="4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hidden="1" x14ac:dyDescent="0.3">
      <c r="A855" s="2" t="s">
        <v>5309</v>
      </c>
      <c r="B855" s="7">
        <v>44259</v>
      </c>
      <c r="C855" s="2" t="s">
        <v>5310</v>
      </c>
      <c r="D855" t="s">
        <v>6146</v>
      </c>
      <c r="E855" s="2">
        <v>2</v>
      </c>
      <c r="F855" s="2" t="str">
        <f>_xlfn.XLOOKUP(C855,customers!$A$1:$A$1001,customers!$B$1:$B$1001,"",0)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6">
        <f>INDEX(products!$A$1:$G$49,MATCH(orders!$D855,products!$A$1:$A$49,0),MATCH(orders!K$1,products!$A$1:$G$1,0))</f>
        <v>1</v>
      </c>
      <c r="L855" s="4">
        <f>INDEX(products!$A$1:$G$49,MATCH(orders!$D855,products!$A$1:$A$49,0),MATCH(orders!L$1,products!$A$1:$G$1,0))</f>
        <v>9.9499999999999993</v>
      </c>
      <c r="M855" s="4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hidden="1" x14ac:dyDescent="0.3">
      <c r="A856" s="2" t="s">
        <v>5314</v>
      </c>
      <c r="B856" s="7">
        <v>44516</v>
      </c>
      <c r="C856" s="2" t="s">
        <v>5315</v>
      </c>
      <c r="D856" t="s">
        <v>6172</v>
      </c>
      <c r="E856" s="2">
        <v>5</v>
      </c>
      <c r="F856" s="2" t="str">
        <f>_xlfn.XLOOKUP(C856,customers!$A$1:$A$1001,customers!$B$1:$B$1001,"",0)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6">
        <f>INDEX(products!$A$1:$G$49,MATCH(orders!$D856,products!$A$1:$A$49,0),MATCH(orders!K$1,products!$A$1:$G$1,0))</f>
        <v>0.5</v>
      </c>
      <c r="L856" s="4">
        <f>INDEX(products!$A$1:$G$49,MATCH(orders!$D856,products!$A$1:$A$49,0),MATCH(orders!L$1,products!$A$1:$G$1,0))</f>
        <v>7.169999999999999</v>
      </c>
      <c r="M856" s="4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hidden="1" x14ac:dyDescent="0.3">
      <c r="A857" s="2" t="s">
        <v>5320</v>
      </c>
      <c r="B857" s="7">
        <v>43632</v>
      </c>
      <c r="C857" s="2" t="s">
        <v>5321</v>
      </c>
      <c r="D857" t="s">
        <v>6164</v>
      </c>
      <c r="E857" s="2">
        <v>3</v>
      </c>
      <c r="F857" s="2" t="str">
        <f>_xlfn.XLOOKUP(C857,customers!$A$1:$A$1001,customers!$B$1:$B$1001,"",0)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6">
        <f>INDEX(products!$A$1:$G$49,MATCH(orders!$D857,products!$A$1:$A$49,0),MATCH(orders!K$1,products!$A$1:$G$1,0))</f>
        <v>2.5</v>
      </c>
      <c r="L857" s="4">
        <f>INDEX(products!$A$1:$G$49,MATCH(orders!$D857,products!$A$1:$A$49,0),MATCH(orders!L$1,products!$A$1:$G$1,0))</f>
        <v>29.784999999999997</v>
      </c>
      <c r="M857" s="4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hidden="1" x14ac:dyDescent="0.3">
      <c r="A858" s="2" t="s">
        <v>5326</v>
      </c>
      <c r="B858" s="7">
        <v>44031</v>
      </c>
      <c r="C858" s="2" t="s">
        <v>5187</v>
      </c>
      <c r="D858" t="s">
        <v>6158</v>
      </c>
      <c r="E858" s="2">
        <v>2</v>
      </c>
      <c r="F858" s="2" t="str">
        <f>_xlfn.XLOOKUP(C858,customers!$A$1:$A$1001,customers!$B$1:$B$1001,"",0)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6">
        <f>INDEX(products!$A$1:$G$49,MATCH(orders!$D858,products!$A$1:$A$49,0),MATCH(orders!K$1,products!$A$1:$G$1,0))</f>
        <v>0.2</v>
      </c>
      <c r="L858" s="4">
        <f>INDEX(products!$A$1:$G$49,MATCH(orders!$D858,products!$A$1:$A$49,0),MATCH(orders!L$1,products!$A$1:$G$1,0))</f>
        <v>4.3650000000000002</v>
      </c>
      <c r="M858" s="4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hidden="1" x14ac:dyDescent="0.3">
      <c r="A859" s="2" t="s">
        <v>5332</v>
      </c>
      <c r="B859" s="7">
        <v>43889</v>
      </c>
      <c r="C859" s="2" t="s">
        <v>5333</v>
      </c>
      <c r="D859" t="s">
        <v>6141</v>
      </c>
      <c r="E859" s="2">
        <v>5</v>
      </c>
      <c r="F859" s="2" t="str">
        <f>_xlfn.XLOOKUP(C859,customers!$A$1:$A$1001,customers!$B$1:$B$1001,"",0)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6">
        <f>INDEX(products!$A$1:$G$49,MATCH(orders!$D859,products!$A$1:$A$49,0),MATCH(orders!K$1,products!$A$1:$G$1,0))</f>
        <v>2.5</v>
      </c>
      <c r="L859" s="4">
        <f>INDEX(products!$A$1:$G$49,MATCH(orders!$D859,products!$A$1:$A$49,0),MATCH(orders!L$1,products!$A$1:$G$1,0))</f>
        <v>27.484999999999996</v>
      </c>
      <c r="M859" s="4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hidden="1" x14ac:dyDescent="0.3">
      <c r="A860" s="2" t="s">
        <v>5338</v>
      </c>
      <c r="B860" s="7">
        <v>43638</v>
      </c>
      <c r="C860" s="2" t="s">
        <v>5339</v>
      </c>
      <c r="D860" t="s">
        <v>6159</v>
      </c>
      <c r="E860" s="2">
        <v>4</v>
      </c>
      <c r="F860" s="2" t="str">
        <f>_xlfn.XLOOKUP(C860,customers!$A$1:$A$1001,customers!$B$1:$B$1001,"",0)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6">
        <f>INDEX(products!$A$1:$G$49,MATCH(orders!$D860,products!$A$1:$A$49,0),MATCH(orders!K$1,products!$A$1:$G$1,0))</f>
        <v>0.5</v>
      </c>
      <c r="L860" s="4">
        <f>INDEX(products!$A$1:$G$49,MATCH(orders!$D860,products!$A$1:$A$49,0),MATCH(orders!L$1,products!$A$1:$G$1,0))</f>
        <v>8.73</v>
      </c>
      <c r="M860" s="4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hidden="1" x14ac:dyDescent="0.3">
      <c r="A861" s="2" t="s">
        <v>5344</v>
      </c>
      <c r="B861" s="7">
        <v>43716</v>
      </c>
      <c r="C861" s="2" t="s">
        <v>5345</v>
      </c>
      <c r="D861" t="s">
        <v>6181</v>
      </c>
      <c r="E861" s="2">
        <v>6</v>
      </c>
      <c r="F861" s="2" t="str">
        <f>_xlfn.XLOOKUP(C861,customers!$A$1:$A$1001,customers!$B$1:$B$1001,"",0)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6">
        <f>INDEX(products!$A$1:$G$49,MATCH(orders!$D861,products!$A$1:$A$49,0),MATCH(orders!K$1,products!$A$1:$G$1,0))</f>
        <v>2.5</v>
      </c>
      <c r="L861" s="4">
        <f>INDEX(products!$A$1:$G$49,MATCH(orders!$D861,products!$A$1:$A$49,0),MATCH(orders!L$1,products!$A$1:$G$1,0))</f>
        <v>29.784999999999997</v>
      </c>
      <c r="M861" s="4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3">
      <c r="A862" s="2" t="s">
        <v>5350</v>
      </c>
      <c r="B862" s="7">
        <v>44707</v>
      </c>
      <c r="C862" s="2" t="s">
        <v>5351</v>
      </c>
      <c r="D862" t="s">
        <v>6174</v>
      </c>
      <c r="E862" s="2">
        <v>1</v>
      </c>
      <c r="F862" s="2" t="str">
        <f>_xlfn.XLOOKUP(C862,customers!$A$1:$A$1001,customers!$B$1:$B$1001,"",0)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6">
        <f>INDEX(products!$A$1:$G$49,MATCH(orders!$D862,products!$A$1:$A$49,0),MATCH(orders!K$1,products!$A$1:$G$1,0))</f>
        <v>2.5</v>
      </c>
      <c r="L862" s="4">
        <f>INDEX(products!$A$1:$G$49,MATCH(orders!$D862,products!$A$1:$A$49,0),MATCH(orders!L$1,products!$A$1:$G$1,0))</f>
        <v>25.874999999999996</v>
      </c>
      <c r="M862" s="4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hidden="1" x14ac:dyDescent="0.3">
      <c r="A863" s="2" t="s">
        <v>5355</v>
      </c>
      <c r="B863" s="7">
        <v>43802</v>
      </c>
      <c r="C863" s="2" t="s">
        <v>5356</v>
      </c>
      <c r="D863" t="s">
        <v>6142</v>
      </c>
      <c r="E863" s="2">
        <v>6</v>
      </c>
      <c r="F863" s="2" t="str">
        <f>_xlfn.XLOOKUP(C863,customers!$A$1:$A$1001,customers!$B$1:$B$1001,"",0)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6">
        <f>INDEX(products!$A$1:$G$49,MATCH(orders!$D863,products!$A$1:$A$49,0),MATCH(orders!K$1,products!$A$1:$G$1,0))</f>
        <v>1</v>
      </c>
      <c r="L863" s="4">
        <f>INDEX(products!$A$1:$G$49,MATCH(orders!$D863,products!$A$1:$A$49,0),MATCH(orders!L$1,products!$A$1:$G$1,0))</f>
        <v>12.95</v>
      </c>
      <c r="M863" s="4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hidden="1" x14ac:dyDescent="0.3">
      <c r="A864" s="2" t="s">
        <v>5361</v>
      </c>
      <c r="B864" s="7">
        <v>43725</v>
      </c>
      <c r="C864" s="2" t="s">
        <v>5362</v>
      </c>
      <c r="D864" t="s">
        <v>6137</v>
      </c>
      <c r="E864" s="2">
        <v>1</v>
      </c>
      <c r="F864" s="2" t="str">
        <f>_xlfn.XLOOKUP(C864,customers!$A$1:$A$1001,customers!$B$1:$B$1001,"",0)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6">
        <f>INDEX(products!$A$1:$G$49,MATCH(orders!$D864,products!$A$1:$A$49,0),MATCH(orders!K$1,products!$A$1:$G$1,0))</f>
        <v>1</v>
      </c>
      <c r="L864" s="4">
        <f>INDEX(products!$A$1:$G$49,MATCH(orders!$D864,products!$A$1:$A$49,0),MATCH(orders!L$1,products!$A$1:$G$1,0))</f>
        <v>9.9499999999999993</v>
      </c>
      <c r="M864" s="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3">
      <c r="A865" s="2" t="s">
        <v>5367</v>
      </c>
      <c r="B865" s="7">
        <v>44712</v>
      </c>
      <c r="C865" s="2" t="s">
        <v>5368</v>
      </c>
      <c r="D865" t="s">
        <v>6161</v>
      </c>
      <c r="E865" s="2">
        <v>2</v>
      </c>
      <c r="F865" s="2" t="str">
        <f>_xlfn.XLOOKUP(C865,customers!$A$1:$A$1001,customers!$B$1:$B$1001,"",0)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6">
        <f>INDEX(products!$A$1:$G$49,MATCH(orders!$D865,products!$A$1:$A$49,0),MATCH(orders!K$1,products!$A$1:$G$1,0))</f>
        <v>1</v>
      </c>
      <c r="L865" s="4">
        <f>INDEX(products!$A$1:$G$49,MATCH(orders!$D865,products!$A$1:$A$49,0),MATCH(orders!L$1,products!$A$1:$G$1,0))</f>
        <v>14.55</v>
      </c>
      <c r="M865" s="4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hidden="1" x14ac:dyDescent="0.3">
      <c r="A866" s="2" t="s">
        <v>5373</v>
      </c>
      <c r="B866" s="7">
        <v>43759</v>
      </c>
      <c r="C866" s="2" t="s">
        <v>5374</v>
      </c>
      <c r="D866" t="s">
        <v>6177</v>
      </c>
      <c r="E866" s="2">
        <v>6</v>
      </c>
      <c r="F866" s="2" t="str">
        <f>_xlfn.XLOOKUP(C866,customers!$A$1:$A$1001,customers!$B$1:$B$1001,"",0)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6">
        <f>INDEX(products!$A$1:$G$49,MATCH(orders!$D866,products!$A$1:$A$49,0),MATCH(orders!K$1,products!$A$1:$G$1,0))</f>
        <v>0.2</v>
      </c>
      <c r="L866" s="4">
        <f>INDEX(products!$A$1:$G$49,MATCH(orders!$D866,products!$A$1:$A$49,0),MATCH(orders!L$1,products!$A$1:$G$1,0))</f>
        <v>3.5849999999999995</v>
      </c>
      <c r="M866" s="4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3">
      <c r="A867" s="2" t="s">
        <v>5379</v>
      </c>
      <c r="B867" s="7">
        <v>44675</v>
      </c>
      <c r="C867" s="2" t="s">
        <v>5427</v>
      </c>
      <c r="D867" t="s">
        <v>6156</v>
      </c>
      <c r="E867" s="2">
        <v>1</v>
      </c>
      <c r="F867" s="2" t="str">
        <f>_xlfn.XLOOKUP(C867,customers!$A$1:$A$1001,customers!$B$1:$B$1001,"",0)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6">
        <f>INDEX(products!$A$1:$G$49,MATCH(orders!$D867,products!$A$1:$A$49,0),MATCH(orders!K$1,products!$A$1:$G$1,0))</f>
        <v>0.5</v>
      </c>
      <c r="L867" s="4">
        <f>INDEX(products!$A$1:$G$49,MATCH(orders!$D867,products!$A$1:$A$49,0),MATCH(orders!L$1,products!$A$1:$G$1,0))</f>
        <v>6.75</v>
      </c>
      <c r="M867" s="4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hidden="1" x14ac:dyDescent="0.3">
      <c r="A868" s="2" t="s">
        <v>5384</v>
      </c>
      <c r="B868" s="7">
        <v>44209</v>
      </c>
      <c r="C868" s="2" t="s">
        <v>5385</v>
      </c>
      <c r="D868" t="s">
        <v>6157</v>
      </c>
      <c r="E868" s="2">
        <v>3</v>
      </c>
      <c r="F868" s="2" t="str">
        <f>_xlfn.XLOOKUP(C868,customers!$A$1:$A$1001,customers!$B$1:$B$1001,"",0)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6">
        <f>INDEX(products!$A$1:$G$49,MATCH(orders!$D868,products!$A$1:$A$49,0),MATCH(orders!K$1,products!$A$1:$G$1,0))</f>
        <v>0.5</v>
      </c>
      <c r="L868" s="4">
        <f>INDEX(products!$A$1:$G$49,MATCH(orders!$D868,products!$A$1:$A$49,0),MATCH(orders!L$1,products!$A$1:$G$1,0))</f>
        <v>5.97</v>
      </c>
      <c r="M868" s="4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3">
      <c r="A869" s="2" t="s">
        <v>5390</v>
      </c>
      <c r="B869" s="7">
        <v>44792</v>
      </c>
      <c r="C869" s="2" t="s">
        <v>5391</v>
      </c>
      <c r="D869" t="s">
        <v>6181</v>
      </c>
      <c r="E869" s="2">
        <v>1</v>
      </c>
      <c r="F869" s="2" t="str">
        <f>_xlfn.XLOOKUP(C869,customers!$A$1:$A$1001,customers!$B$1:$B$1001,"",0)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6">
        <f>INDEX(products!$A$1:$G$49,MATCH(orders!$D869,products!$A$1:$A$49,0),MATCH(orders!K$1,products!$A$1:$G$1,0))</f>
        <v>2.5</v>
      </c>
      <c r="L869" s="4">
        <f>INDEX(products!$A$1:$G$49,MATCH(orders!$D869,products!$A$1:$A$49,0),MATCH(orders!L$1,products!$A$1:$G$1,0))</f>
        <v>29.784999999999997</v>
      </c>
      <c r="M869" s="4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hidden="1" x14ac:dyDescent="0.3">
      <c r="A870" s="2" t="s">
        <v>5395</v>
      </c>
      <c r="B870" s="7">
        <v>43526</v>
      </c>
      <c r="C870" s="2" t="s">
        <v>5396</v>
      </c>
      <c r="D870" t="s">
        <v>6138</v>
      </c>
      <c r="E870" s="2">
        <v>5</v>
      </c>
      <c r="F870" s="2" t="str">
        <f>_xlfn.XLOOKUP(C870,customers!$A$1:$A$1001,customers!$B$1:$B$1001,"",0)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6">
        <f>INDEX(products!$A$1:$G$49,MATCH(orders!$D870,products!$A$1:$A$49,0),MATCH(orders!K$1,products!$A$1:$G$1,0))</f>
        <v>0.5</v>
      </c>
      <c r="L870" s="4">
        <f>INDEX(products!$A$1:$G$49,MATCH(orders!$D870,products!$A$1:$A$49,0),MATCH(orders!L$1,products!$A$1:$G$1,0))</f>
        <v>8.25</v>
      </c>
      <c r="M870" s="4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hidden="1" x14ac:dyDescent="0.3">
      <c r="A871" s="2" t="s">
        <v>5401</v>
      </c>
      <c r="B871" s="7">
        <v>43851</v>
      </c>
      <c r="C871" s="2" t="s">
        <v>5402</v>
      </c>
      <c r="D871" t="s">
        <v>6145</v>
      </c>
      <c r="E871" s="2">
        <v>3</v>
      </c>
      <c r="F871" s="2" t="str">
        <f>_xlfn.XLOOKUP(C871,customers!$A$1:$A$1001,customers!$B$1:$B$1001,"",0)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6">
        <f>INDEX(products!$A$1:$G$49,MATCH(orders!$D871,products!$A$1:$A$49,0),MATCH(orders!K$1,products!$A$1:$G$1,0))</f>
        <v>0.5</v>
      </c>
      <c r="L871" s="4">
        <f>INDEX(products!$A$1:$G$49,MATCH(orders!$D871,products!$A$1:$A$49,0),MATCH(orders!L$1,products!$A$1:$G$1,0))</f>
        <v>5.97</v>
      </c>
      <c r="M871" s="4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hidden="1" x14ac:dyDescent="0.3">
      <c r="A872" s="2" t="s">
        <v>5406</v>
      </c>
      <c r="B872" s="7">
        <v>44460</v>
      </c>
      <c r="C872" s="2" t="s">
        <v>5407</v>
      </c>
      <c r="D872" t="s">
        <v>6143</v>
      </c>
      <c r="E872" s="2">
        <v>1</v>
      </c>
      <c r="F872" s="2" t="str">
        <f>_xlfn.XLOOKUP(C872,customers!$A$1:$A$1001,customers!$B$1:$B$1001,"",0)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6">
        <f>INDEX(products!$A$1:$G$49,MATCH(orders!$D872,products!$A$1:$A$49,0),MATCH(orders!K$1,products!$A$1:$G$1,0))</f>
        <v>0.5</v>
      </c>
      <c r="L872" s="4">
        <f>INDEX(products!$A$1:$G$49,MATCH(orders!$D872,products!$A$1:$A$49,0),MATCH(orders!L$1,products!$A$1:$G$1,0))</f>
        <v>7.29</v>
      </c>
      <c r="M872" s="4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hidden="1" x14ac:dyDescent="0.3">
      <c r="A873" s="2" t="s">
        <v>5412</v>
      </c>
      <c r="B873" s="7">
        <v>43707</v>
      </c>
      <c r="C873" s="2" t="s">
        <v>5413</v>
      </c>
      <c r="D873" t="s">
        <v>6170</v>
      </c>
      <c r="E873" s="2">
        <v>2</v>
      </c>
      <c r="F873" s="2" t="str">
        <f>_xlfn.XLOOKUP(C873,customers!$A$1:$A$1001,customers!$B$1:$B$1001,"",0)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6">
        <f>INDEX(products!$A$1:$G$49,MATCH(orders!$D873,products!$A$1:$A$49,0),MATCH(orders!K$1,products!$A$1:$G$1,0))</f>
        <v>1</v>
      </c>
      <c r="L873" s="4">
        <f>INDEX(products!$A$1:$G$49,MATCH(orders!$D873,products!$A$1:$A$49,0),MATCH(orders!L$1,products!$A$1:$G$1,0))</f>
        <v>14.85</v>
      </c>
      <c r="M873" s="4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hidden="1" x14ac:dyDescent="0.3">
      <c r="A874" s="2" t="s">
        <v>5420</v>
      </c>
      <c r="B874" s="7">
        <v>43521</v>
      </c>
      <c r="C874" s="2" t="s">
        <v>5421</v>
      </c>
      <c r="D874" t="s">
        <v>6154</v>
      </c>
      <c r="E874" s="2">
        <v>2</v>
      </c>
      <c r="F874" s="2" t="str">
        <f>_xlfn.XLOOKUP(C874,customers!$A$1:$A$1001,customers!$B$1:$B$1001,"",0)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6">
        <f>INDEX(products!$A$1:$G$49,MATCH(orders!$D874,products!$A$1:$A$49,0),MATCH(orders!K$1,products!$A$1:$G$1,0))</f>
        <v>1</v>
      </c>
      <c r="L874" s="4">
        <f>INDEX(products!$A$1:$G$49,MATCH(orders!$D874,products!$A$1:$A$49,0),MATCH(orders!L$1,products!$A$1:$G$1,0))</f>
        <v>11.25</v>
      </c>
      <c r="M874" s="4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hidden="1" x14ac:dyDescent="0.3">
      <c r="A875" s="2" t="s">
        <v>5426</v>
      </c>
      <c r="B875" s="7">
        <v>43725</v>
      </c>
      <c r="C875" s="2" t="s">
        <v>5427</v>
      </c>
      <c r="D875" t="s">
        <v>6173</v>
      </c>
      <c r="E875" s="2">
        <v>4</v>
      </c>
      <c r="F875" s="2" t="str">
        <f>_xlfn.XLOOKUP(C875,customers!$A$1:$A$1001,customers!$B$1:$B$1001,"",0)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6">
        <f>INDEX(products!$A$1:$G$49,MATCH(orders!$D875,products!$A$1:$A$49,0),MATCH(orders!K$1,products!$A$1:$G$1,0))</f>
        <v>0.2</v>
      </c>
      <c r="L875" s="4">
        <f>INDEX(products!$A$1:$G$49,MATCH(orders!$D875,products!$A$1:$A$49,0),MATCH(orders!L$1,products!$A$1:$G$1,0))</f>
        <v>2.9849999999999999</v>
      </c>
      <c r="M875" s="4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hidden="1" x14ac:dyDescent="0.3">
      <c r="A876" s="2" t="s">
        <v>5432</v>
      </c>
      <c r="B876" s="7">
        <v>43680</v>
      </c>
      <c r="C876" s="2" t="s">
        <v>5433</v>
      </c>
      <c r="D876" t="s">
        <v>6139</v>
      </c>
      <c r="E876" s="2">
        <v>2</v>
      </c>
      <c r="F876" s="2" t="str">
        <f>_xlfn.XLOOKUP(C876,customers!$A$1:$A$1001,customers!$B$1:$B$1001,"",0)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6">
        <f>INDEX(products!$A$1:$G$49,MATCH(orders!$D876,products!$A$1:$A$49,0),MATCH(orders!K$1,products!$A$1:$G$1,0))</f>
        <v>1</v>
      </c>
      <c r="L876" s="4">
        <f>INDEX(products!$A$1:$G$49,MATCH(orders!$D876,products!$A$1:$A$49,0),MATCH(orders!L$1,products!$A$1:$G$1,0))</f>
        <v>12.95</v>
      </c>
      <c r="M876" s="4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hidden="1" x14ac:dyDescent="0.3">
      <c r="A877" s="2" t="s">
        <v>5438</v>
      </c>
      <c r="B877" s="7">
        <v>44253</v>
      </c>
      <c r="C877" s="2" t="s">
        <v>5439</v>
      </c>
      <c r="D877" t="s">
        <v>6159</v>
      </c>
      <c r="E877" s="2">
        <v>5</v>
      </c>
      <c r="F877" s="2" t="str">
        <f>_xlfn.XLOOKUP(C877,customers!$A$1:$A$1001,customers!$B$1:$B$1001,"",0)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6">
        <f>INDEX(products!$A$1:$G$49,MATCH(orders!$D877,products!$A$1:$A$49,0),MATCH(orders!K$1,products!$A$1:$G$1,0))</f>
        <v>0.5</v>
      </c>
      <c r="L877" s="4">
        <f>INDEX(products!$A$1:$G$49,MATCH(orders!$D877,products!$A$1:$A$49,0),MATCH(orders!L$1,products!$A$1:$G$1,0))</f>
        <v>8.73</v>
      </c>
      <c r="M877" s="4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hidden="1" x14ac:dyDescent="0.3">
      <c r="A878" s="2" t="s">
        <v>5438</v>
      </c>
      <c r="B878" s="7">
        <v>44253</v>
      </c>
      <c r="C878" s="2" t="s">
        <v>5439</v>
      </c>
      <c r="D878" t="s">
        <v>6179</v>
      </c>
      <c r="E878" s="2">
        <v>6</v>
      </c>
      <c r="F878" s="2" t="str">
        <f>_xlfn.XLOOKUP(C878,customers!$A$1:$A$1001,customers!$B$1:$B$1001,"",0)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6">
        <f>INDEX(products!$A$1:$G$49,MATCH(orders!$D878,products!$A$1:$A$49,0),MATCH(orders!K$1,products!$A$1:$G$1,0))</f>
        <v>0.5</v>
      </c>
      <c r="L878" s="4">
        <f>INDEX(products!$A$1:$G$49,MATCH(orders!$D878,products!$A$1:$A$49,0),MATCH(orders!L$1,products!$A$1:$G$1,0))</f>
        <v>7.77</v>
      </c>
      <c r="M878" s="4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hidden="1" x14ac:dyDescent="0.3">
      <c r="A879" s="2" t="s">
        <v>5449</v>
      </c>
      <c r="B879" s="7">
        <v>44411</v>
      </c>
      <c r="C879" s="2" t="s">
        <v>5450</v>
      </c>
      <c r="D879" t="s">
        <v>6160</v>
      </c>
      <c r="E879" s="2">
        <v>3</v>
      </c>
      <c r="F879" s="2" t="str">
        <f>_xlfn.XLOOKUP(C879,customers!$A$1:$A$1001,customers!$B$1:$B$1001,"",0)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6">
        <f>INDEX(products!$A$1:$G$49,MATCH(orders!$D879,products!$A$1:$A$49,0),MATCH(orders!K$1,products!$A$1:$G$1,0))</f>
        <v>0.5</v>
      </c>
      <c r="L879" s="4">
        <f>INDEX(products!$A$1:$G$49,MATCH(orders!$D879,products!$A$1:$A$49,0),MATCH(orders!L$1,products!$A$1:$G$1,0))</f>
        <v>9.51</v>
      </c>
      <c r="M879" s="4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hidden="1" x14ac:dyDescent="0.3">
      <c r="A880" s="2" t="s">
        <v>5455</v>
      </c>
      <c r="B880" s="7">
        <v>44323</v>
      </c>
      <c r="C880" s="2" t="s">
        <v>5456</v>
      </c>
      <c r="D880" t="s">
        <v>6141</v>
      </c>
      <c r="E880" s="2">
        <v>1</v>
      </c>
      <c r="F880" s="2" t="str">
        <f>_xlfn.XLOOKUP(C880,customers!$A$1:$A$1001,customers!$B$1:$B$1001,"",0)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6">
        <f>INDEX(products!$A$1:$G$49,MATCH(orders!$D880,products!$A$1:$A$49,0),MATCH(orders!K$1,products!$A$1:$G$1,0))</f>
        <v>2.5</v>
      </c>
      <c r="L880" s="4">
        <f>INDEX(products!$A$1:$G$49,MATCH(orders!$D880,products!$A$1:$A$49,0),MATCH(orders!L$1,products!$A$1:$G$1,0))</f>
        <v>27.484999999999996</v>
      </c>
      <c r="M880" s="4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hidden="1" x14ac:dyDescent="0.3">
      <c r="A881" s="2" t="s">
        <v>5460</v>
      </c>
      <c r="B881" s="7">
        <v>43630</v>
      </c>
      <c r="C881" s="2" t="s">
        <v>5461</v>
      </c>
      <c r="D881" t="s">
        <v>6152</v>
      </c>
      <c r="E881" s="2">
        <v>3</v>
      </c>
      <c r="F881" s="2" t="str">
        <f>_xlfn.XLOOKUP(C881,customers!$A$1:$A$1001,customers!$B$1:$B$1001,"",0)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6">
        <f>INDEX(products!$A$1:$G$49,MATCH(orders!$D881,products!$A$1:$A$49,0),MATCH(orders!K$1,products!$A$1:$G$1,0))</f>
        <v>0.2</v>
      </c>
      <c r="L881" s="4">
        <f>INDEX(products!$A$1:$G$49,MATCH(orders!$D881,products!$A$1:$A$49,0),MATCH(orders!L$1,products!$A$1:$G$1,0))</f>
        <v>3.645</v>
      </c>
      <c r="M881" s="4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hidden="1" x14ac:dyDescent="0.3">
      <c r="A882" s="2" t="s">
        <v>5465</v>
      </c>
      <c r="B882" s="7">
        <v>43790</v>
      </c>
      <c r="C882" s="2" t="s">
        <v>5466</v>
      </c>
      <c r="D882" t="s">
        <v>6177</v>
      </c>
      <c r="E882" s="2">
        <v>2</v>
      </c>
      <c r="F882" s="2" t="str">
        <f>_xlfn.XLOOKUP(C882,customers!$A$1:$A$1001,customers!$B$1:$B$1001,"",0)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6">
        <f>INDEX(products!$A$1:$G$49,MATCH(orders!$D882,products!$A$1:$A$49,0),MATCH(orders!K$1,products!$A$1:$G$1,0))</f>
        <v>0.2</v>
      </c>
      <c r="L882" s="4">
        <f>INDEX(products!$A$1:$G$49,MATCH(orders!$D882,products!$A$1:$A$49,0),MATCH(orders!L$1,products!$A$1:$G$1,0))</f>
        <v>3.5849999999999995</v>
      </c>
      <c r="M882" s="4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hidden="1" x14ac:dyDescent="0.3">
      <c r="A883" s="2" t="s">
        <v>5471</v>
      </c>
      <c r="B883" s="7">
        <v>44286</v>
      </c>
      <c r="C883" s="2" t="s">
        <v>5472</v>
      </c>
      <c r="D883" t="s">
        <v>6166</v>
      </c>
      <c r="E883" s="2">
        <v>6</v>
      </c>
      <c r="F883" s="2" t="str">
        <f>_xlfn.XLOOKUP(C883,customers!$A$1:$A$1001,customers!$B$1:$B$1001,"",0)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6">
        <f>INDEX(products!$A$1:$G$49,MATCH(orders!$D883,products!$A$1:$A$49,0),MATCH(orders!K$1,products!$A$1:$G$1,0))</f>
        <v>0.2</v>
      </c>
      <c r="L883" s="4">
        <f>INDEX(products!$A$1:$G$49,MATCH(orders!$D883,products!$A$1:$A$49,0),MATCH(orders!L$1,products!$A$1:$G$1,0))</f>
        <v>3.8849999999999998</v>
      </c>
      <c r="M883" s="4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hidden="1" x14ac:dyDescent="0.3">
      <c r="A884" s="2" t="s">
        <v>5476</v>
      </c>
      <c r="B884" s="7">
        <v>43647</v>
      </c>
      <c r="C884" s="2" t="s">
        <v>5525</v>
      </c>
      <c r="D884" t="s">
        <v>6167</v>
      </c>
      <c r="E884" s="2">
        <v>5</v>
      </c>
      <c r="F884" s="2" t="str">
        <f>_xlfn.XLOOKUP(C884,customers!$A$1:$A$1001,customers!$B$1:$B$1001,"",0)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6">
        <f>INDEX(products!$A$1:$G$49,MATCH(orders!$D884,products!$A$1:$A$49,0),MATCH(orders!K$1,products!$A$1:$G$1,0))</f>
        <v>2.5</v>
      </c>
      <c r="L884" s="4">
        <f>INDEX(products!$A$1:$G$49,MATCH(orders!$D884,products!$A$1:$A$49,0),MATCH(orders!L$1,products!$A$1:$G$1,0))</f>
        <v>22.884999999999998</v>
      </c>
      <c r="M884" s="4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hidden="1" x14ac:dyDescent="0.3">
      <c r="A885" s="2" t="s">
        <v>5482</v>
      </c>
      <c r="B885" s="7">
        <v>43956</v>
      </c>
      <c r="C885" s="2" t="s">
        <v>5483</v>
      </c>
      <c r="D885" t="s">
        <v>6174</v>
      </c>
      <c r="E885" s="2">
        <v>3</v>
      </c>
      <c r="F885" s="2" t="str">
        <f>_xlfn.XLOOKUP(C885,customers!$A$1:$A$1001,customers!$B$1:$B$1001,"",0)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6">
        <f>INDEX(products!$A$1:$G$49,MATCH(orders!$D885,products!$A$1:$A$49,0),MATCH(orders!K$1,products!$A$1:$G$1,0))</f>
        <v>2.5</v>
      </c>
      <c r="L885" s="4">
        <f>INDEX(products!$A$1:$G$49,MATCH(orders!$D885,products!$A$1:$A$49,0),MATCH(orders!L$1,products!$A$1:$G$1,0))</f>
        <v>25.874999999999996</v>
      </c>
      <c r="M885" s="4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hidden="1" x14ac:dyDescent="0.3">
      <c r="A886" s="2" t="s">
        <v>5488</v>
      </c>
      <c r="B886" s="7">
        <v>43941</v>
      </c>
      <c r="C886" s="2" t="s">
        <v>5489</v>
      </c>
      <c r="D886" t="s">
        <v>6171</v>
      </c>
      <c r="E886" s="2">
        <v>1</v>
      </c>
      <c r="F886" s="2" t="str">
        <f>_xlfn.XLOOKUP(C886,customers!$A$1:$A$1001,customers!$B$1:$B$1001,"",0)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6">
        <f>INDEX(products!$A$1:$G$49,MATCH(orders!$D886,products!$A$1:$A$49,0),MATCH(orders!K$1,products!$A$1:$G$1,0))</f>
        <v>0.5</v>
      </c>
      <c r="L886" s="4">
        <f>INDEX(products!$A$1:$G$49,MATCH(orders!$D886,products!$A$1:$A$49,0),MATCH(orders!L$1,products!$A$1:$G$1,0))</f>
        <v>5.3699999999999992</v>
      </c>
      <c r="M886" s="4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hidden="1" x14ac:dyDescent="0.3">
      <c r="A887" s="2" t="s">
        <v>5494</v>
      </c>
      <c r="B887" s="7">
        <v>43664</v>
      </c>
      <c r="C887" s="2" t="s">
        <v>5495</v>
      </c>
      <c r="D887" t="s">
        <v>6148</v>
      </c>
      <c r="E887" s="2">
        <v>6</v>
      </c>
      <c r="F887" s="2" t="str">
        <f>_xlfn.XLOOKUP(C887,customers!$A$1:$A$1001,customers!$B$1:$B$1001,"",0)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6">
        <f>INDEX(products!$A$1:$G$49,MATCH(orders!$D887,products!$A$1:$A$49,0),MATCH(orders!K$1,products!$A$1:$G$1,0))</f>
        <v>2.5</v>
      </c>
      <c r="L887" s="4">
        <f>INDEX(products!$A$1:$G$49,MATCH(orders!$D887,products!$A$1:$A$49,0),MATCH(orders!L$1,products!$A$1:$G$1,0))</f>
        <v>20.584999999999997</v>
      </c>
      <c r="M887" s="4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hidden="1" x14ac:dyDescent="0.3">
      <c r="A888" s="2" t="s">
        <v>5500</v>
      </c>
      <c r="B888" s="7">
        <v>44518</v>
      </c>
      <c r="C888" s="2" t="s">
        <v>5501</v>
      </c>
      <c r="D888" t="s">
        <v>6159</v>
      </c>
      <c r="E888" s="2">
        <v>2</v>
      </c>
      <c r="F888" s="2" t="str">
        <f>_xlfn.XLOOKUP(C888,customers!$A$1:$A$1001,customers!$B$1:$B$1001,"",0)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6">
        <f>INDEX(products!$A$1:$G$49,MATCH(orders!$D888,products!$A$1:$A$49,0),MATCH(orders!K$1,products!$A$1:$G$1,0))</f>
        <v>0.5</v>
      </c>
      <c r="L888" s="4">
        <f>INDEX(products!$A$1:$G$49,MATCH(orders!$D888,products!$A$1:$A$49,0),MATCH(orders!L$1,products!$A$1:$G$1,0))</f>
        <v>8.73</v>
      </c>
      <c r="M888" s="4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hidden="1" x14ac:dyDescent="0.3">
      <c r="A889" s="2" t="s">
        <v>5506</v>
      </c>
      <c r="B889" s="7">
        <v>44002</v>
      </c>
      <c r="C889" s="2" t="s">
        <v>5507</v>
      </c>
      <c r="D889" t="s">
        <v>6183</v>
      </c>
      <c r="E889" s="2">
        <v>3</v>
      </c>
      <c r="F889" s="2" t="str">
        <f>_xlfn.XLOOKUP(C889,customers!$A$1:$A$1001,customers!$B$1:$B$1001,"",0)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6">
        <f>INDEX(products!$A$1:$G$49,MATCH(orders!$D889,products!$A$1:$A$49,0),MATCH(orders!K$1,products!$A$1:$G$1,0))</f>
        <v>0.2</v>
      </c>
      <c r="L889" s="4">
        <f>INDEX(products!$A$1:$G$49,MATCH(orders!$D889,products!$A$1:$A$49,0),MATCH(orders!L$1,products!$A$1:$G$1,0))</f>
        <v>4.4550000000000001</v>
      </c>
      <c r="M889" s="4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hidden="1" x14ac:dyDescent="0.3">
      <c r="A890" s="2" t="s">
        <v>5512</v>
      </c>
      <c r="B890" s="7">
        <v>44292</v>
      </c>
      <c r="C890" s="2" t="s">
        <v>5513</v>
      </c>
      <c r="D890" t="s">
        <v>6166</v>
      </c>
      <c r="E890" s="2">
        <v>2</v>
      </c>
      <c r="F890" s="2" t="str">
        <f>_xlfn.XLOOKUP(C890,customers!$A$1:$A$1001,customers!$B$1:$B$1001,"",0)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6">
        <f>INDEX(products!$A$1:$G$49,MATCH(orders!$D890,products!$A$1:$A$49,0),MATCH(orders!K$1,products!$A$1:$G$1,0))</f>
        <v>0.2</v>
      </c>
      <c r="L890" s="4">
        <f>INDEX(products!$A$1:$G$49,MATCH(orders!$D890,products!$A$1:$A$49,0),MATCH(orders!L$1,products!$A$1:$G$1,0))</f>
        <v>3.8849999999999998</v>
      </c>
      <c r="M890" s="4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hidden="1" x14ac:dyDescent="0.3">
      <c r="A891" s="2" t="s">
        <v>5518</v>
      </c>
      <c r="B891" s="7">
        <v>43633</v>
      </c>
      <c r="C891" s="2" t="s">
        <v>5519</v>
      </c>
      <c r="D891" t="s">
        <v>6162</v>
      </c>
      <c r="E891" s="2">
        <v>1</v>
      </c>
      <c r="F891" s="2" t="str">
        <f>_xlfn.XLOOKUP(C891,customers!$A$1:$A$1001,customers!$B$1:$B$1001,"",0)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6">
        <f>INDEX(products!$A$1:$G$49,MATCH(orders!$D891,products!$A$1:$A$49,0),MATCH(orders!K$1,products!$A$1:$G$1,0))</f>
        <v>0.2</v>
      </c>
      <c r="L891" s="4">
        <f>INDEX(products!$A$1:$G$49,MATCH(orders!$D891,products!$A$1:$A$49,0),MATCH(orders!L$1,products!$A$1:$G$1,0))</f>
        <v>2.6849999999999996</v>
      </c>
      <c r="M891" s="4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3">
      <c r="A892" s="2" t="s">
        <v>5524</v>
      </c>
      <c r="B892" s="7">
        <v>44646</v>
      </c>
      <c r="C892" s="2" t="s">
        <v>5525</v>
      </c>
      <c r="D892" t="s">
        <v>6148</v>
      </c>
      <c r="E892" s="2">
        <v>1</v>
      </c>
      <c r="F892" s="2" t="str">
        <f>_xlfn.XLOOKUP(C892,customers!$A$1:$A$1001,customers!$B$1:$B$1001,"",0)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6">
        <f>INDEX(products!$A$1:$G$49,MATCH(orders!$D892,products!$A$1:$A$49,0),MATCH(orders!K$1,products!$A$1:$G$1,0))</f>
        <v>2.5</v>
      </c>
      <c r="L892" s="4">
        <f>INDEX(products!$A$1:$G$49,MATCH(orders!$D892,products!$A$1:$A$49,0),MATCH(orders!L$1,products!$A$1:$G$1,0))</f>
        <v>20.584999999999997</v>
      </c>
      <c r="M892" s="4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hidden="1" x14ac:dyDescent="0.3">
      <c r="A893" s="2" t="s">
        <v>5530</v>
      </c>
      <c r="B893" s="7">
        <v>44469</v>
      </c>
      <c r="C893" s="2" t="s">
        <v>5531</v>
      </c>
      <c r="D893" t="s">
        <v>6167</v>
      </c>
      <c r="E893" s="2">
        <v>5</v>
      </c>
      <c r="F893" s="2" t="str">
        <f>_xlfn.XLOOKUP(C893,customers!$A$1:$A$1001,customers!$B$1:$B$1001,"",0)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6">
        <f>INDEX(products!$A$1:$G$49,MATCH(orders!$D893,products!$A$1:$A$49,0),MATCH(orders!K$1,products!$A$1:$G$1,0))</f>
        <v>2.5</v>
      </c>
      <c r="L893" s="4">
        <f>INDEX(products!$A$1:$G$49,MATCH(orders!$D893,products!$A$1:$A$49,0),MATCH(orders!L$1,products!$A$1:$G$1,0))</f>
        <v>22.884999999999998</v>
      </c>
      <c r="M893" s="4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hidden="1" x14ac:dyDescent="0.3">
      <c r="A894" s="2" t="s">
        <v>5536</v>
      </c>
      <c r="B894" s="7">
        <v>43635</v>
      </c>
      <c r="C894" s="2" t="s">
        <v>5537</v>
      </c>
      <c r="D894" t="s">
        <v>6155</v>
      </c>
      <c r="E894" s="2">
        <v>5</v>
      </c>
      <c r="F894" s="2" t="str">
        <f>_xlfn.XLOOKUP(C894,customers!$A$1:$A$1001,customers!$B$1:$B$1001,"",0)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6">
        <f>INDEX(products!$A$1:$G$49,MATCH(orders!$D894,products!$A$1:$A$49,0),MATCH(orders!K$1,products!$A$1:$G$1,0))</f>
        <v>0.2</v>
      </c>
      <c r="L894" s="4">
        <f>INDEX(products!$A$1:$G$49,MATCH(orders!$D894,products!$A$1:$A$49,0),MATCH(orders!L$1,products!$A$1:$G$1,0))</f>
        <v>4.125</v>
      </c>
      <c r="M894" s="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3">
      <c r="A895" s="2" t="s">
        <v>5542</v>
      </c>
      <c r="B895" s="7">
        <v>44651</v>
      </c>
      <c r="C895" s="2" t="s">
        <v>5543</v>
      </c>
      <c r="D895" t="s">
        <v>6160</v>
      </c>
      <c r="E895" s="2">
        <v>6</v>
      </c>
      <c r="F895" s="2" t="str">
        <f>_xlfn.XLOOKUP(C895,customers!$A$1:$A$1001,customers!$B$1:$B$1001,"",0)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6">
        <f>INDEX(products!$A$1:$G$49,MATCH(orders!$D895,products!$A$1:$A$49,0),MATCH(orders!K$1,products!$A$1:$G$1,0))</f>
        <v>0.5</v>
      </c>
      <c r="L895" s="4">
        <f>INDEX(products!$A$1:$G$49,MATCH(orders!$D895,products!$A$1:$A$49,0),MATCH(orders!L$1,products!$A$1:$G$1,0))</f>
        <v>9.51</v>
      </c>
      <c r="M895" s="4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hidden="1" x14ac:dyDescent="0.3">
      <c r="A896" s="2" t="s">
        <v>5547</v>
      </c>
      <c r="B896" s="7">
        <v>44016</v>
      </c>
      <c r="C896" s="2" t="s">
        <v>5548</v>
      </c>
      <c r="D896" t="s">
        <v>6148</v>
      </c>
      <c r="E896" s="2">
        <v>4</v>
      </c>
      <c r="F896" s="2" t="str">
        <f>_xlfn.XLOOKUP(C896,customers!$A$1:$A$1001,customers!$B$1:$B$1001,"",0)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6">
        <f>INDEX(products!$A$1:$G$49,MATCH(orders!$D896,products!$A$1:$A$49,0),MATCH(orders!K$1,products!$A$1:$G$1,0))</f>
        <v>2.5</v>
      </c>
      <c r="L896" s="4">
        <f>INDEX(products!$A$1:$G$49,MATCH(orders!$D896,products!$A$1:$A$49,0),MATCH(orders!L$1,products!$A$1:$G$1,0))</f>
        <v>20.584999999999997</v>
      </c>
      <c r="M896" s="4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hidden="1" x14ac:dyDescent="0.3">
      <c r="A897" s="2" t="s">
        <v>5552</v>
      </c>
      <c r="B897" s="7">
        <v>44521</v>
      </c>
      <c r="C897" s="2" t="s">
        <v>5553</v>
      </c>
      <c r="D897" t="s">
        <v>6165</v>
      </c>
      <c r="E897" s="2">
        <v>5</v>
      </c>
      <c r="F897" s="2" t="str">
        <f>_xlfn.XLOOKUP(C897,customers!$A$1:$A$1001,customers!$B$1:$B$1001,"",0)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6">
        <f>INDEX(products!$A$1:$G$49,MATCH(orders!$D897,products!$A$1:$A$49,0),MATCH(orders!K$1,products!$A$1:$G$1,0))</f>
        <v>2.5</v>
      </c>
      <c r="L897" s="4">
        <f>INDEX(products!$A$1:$G$49,MATCH(orders!$D897,products!$A$1:$A$49,0),MATCH(orders!L$1,products!$A$1:$G$1,0))</f>
        <v>31.624999999999996</v>
      </c>
      <c r="M897" s="4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hidden="1" x14ac:dyDescent="0.3">
      <c r="A898" s="2" t="s">
        <v>5557</v>
      </c>
      <c r="B898" s="7">
        <v>44347</v>
      </c>
      <c r="C898" s="2" t="s">
        <v>5558</v>
      </c>
      <c r="D898" t="s">
        <v>6171</v>
      </c>
      <c r="E898" s="2">
        <v>6</v>
      </c>
      <c r="F898" s="2" t="str">
        <f>_xlfn.XLOOKUP(C898,customers!$A$1:$A$1001,customers!$B$1:$B$1001,"",0)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6">
        <f>INDEX(products!$A$1:$G$49,MATCH(orders!$D898,products!$A$1:$A$49,0),MATCH(orders!K$1,products!$A$1:$G$1,0))</f>
        <v>0.5</v>
      </c>
      <c r="L898" s="4">
        <f>INDEX(products!$A$1:$G$49,MATCH(orders!$D898,products!$A$1:$A$49,0),MATCH(orders!L$1,products!$A$1:$G$1,0))</f>
        <v>5.3699999999999992</v>
      </c>
      <c r="M898" s="4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hidden="1" x14ac:dyDescent="0.3">
      <c r="A899" s="2" t="s">
        <v>5563</v>
      </c>
      <c r="B899" s="7">
        <v>43932</v>
      </c>
      <c r="C899" s="2" t="s">
        <v>5564</v>
      </c>
      <c r="D899" t="s">
        <v>6182</v>
      </c>
      <c r="E899" s="2">
        <v>2</v>
      </c>
      <c r="F899" s="2" t="str">
        <f>_xlfn.XLOOKUP(C899,customers!$A$1:$A$1001,customers!$B$1:$B$1001,"",0)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6">
        <f>INDEX(products!$A$1:$G$49,MATCH(orders!$D899,products!$A$1:$A$49,0),MATCH(orders!K$1,products!$A$1:$G$1,0))</f>
        <v>1</v>
      </c>
      <c r="L899" s="4">
        <f>INDEX(products!$A$1:$G$49,MATCH(orders!$D899,products!$A$1:$A$49,0),MATCH(orders!L$1,products!$A$1:$G$1,0))</f>
        <v>12.15</v>
      </c>
      <c r="M899" s="4">
        <f t="shared" ref="M899:M962" si="42">E899*L899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hidden="1" x14ac:dyDescent="0.3">
      <c r="A900" s="2" t="s">
        <v>5569</v>
      </c>
      <c r="B900" s="7">
        <v>44089</v>
      </c>
      <c r="C900" s="2" t="s">
        <v>5570</v>
      </c>
      <c r="D900" t="s">
        <v>6172</v>
      </c>
      <c r="E900" s="2">
        <v>5</v>
      </c>
      <c r="F900" s="2" t="str">
        <f>_xlfn.XLOOKUP(C900,customers!$A$1:$A$1001,customers!$B$1:$B$1001,"",0)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6">
        <f>INDEX(products!$A$1:$G$49,MATCH(orders!$D900,products!$A$1:$A$49,0),MATCH(orders!K$1,products!$A$1:$G$1,0))</f>
        <v>0.5</v>
      </c>
      <c r="L900" s="4">
        <f>INDEX(products!$A$1:$G$49,MATCH(orders!$D900,products!$A$1:$A$49,0),MATCH(orders!L$1,products!$A$1:$G$1,0))</f>
        <v>7.169999999999999</v>
      </c>
      <c r="M900" s="4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hidden="1" x14ac:dyDescent="0.3">
      <c r="A901" s="2" t="s">
        <v>5574</v>
      </c>
      <c r="B901" s="7">
        <v>44523</v>
      </c>
      <c r="C901" s="2" t="s">
        <v>5553</v>
      </c>
      <c r="D901" t="s">
        <v>6161</v>
      </c>
      <c r="E901" s="2">
        <v>5</v>
      </c>
      <c r="F901" s="2" t="str">
        <f>_xlfn.XLOOKUP(C901,customers!$A$1:$A$1001,customers!$B$1:$B$1001,"",0)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6">
        <f>INDEX(products!$A$1:$G$49,MATCH(orders!$D901,products!$A$1:$A$49,0),MATCH(orders!K$1,products!$A$1:$G$1,0))</f>
        <v>1</v>
      </c>
      <c r="L901" s="4">
        <f>INDEX(products!$A$1:$G$49,MATCH(orders!$D901,products!$A$1:$A$49,0),MATCH(orders!L$1,products!$A$1:$G$1,0))</f>
        <v>14.55</v>
      </c>
      <c r="M901" s="4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3">
      <c r="A902" s="2" t="s">
        <v>5579</v>
      </c>
      <c r="B902" s="7">
        <v>44584</v>
      </c>
      <c r="C902" s="2" t="s">
        <v>5580</v>
      </c>
      <c r="D902" t="s">
        <v>6169</v>
      </c>
      <c r="E902" s="2">
        <v>3</v>
      </c>
      <c r="F902" s="2" t="str">
        <f>_xlfn.XLOOKUP(C902,customers!$A$1:$A$1001,customers!$B$1:$B$1001,"",0)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6">
        <f>INDEX(products!$A$1:$G$49,MATCH(orders!$D902,products!$A$1:$A$49,0),MATCH(orders!K$1,products!$A$1:$G$1,0))</f>
        <v>1</v>
      </c>
      <c r="L902" s="4">
        <f>INDEX(products!$A$1:$G$49,MATCH(orders!$D902,products!$A$1:$A$49,0),MATCH(orders!L$1,products!$A$1:$G$1,0))</f>
        <v>15.85</v>
      </c>
      <c r="M902" s="4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hidden="1" x14ac:dyDescent="0.3">
      <c r="A903" s="2" t="s">
        <v>5584</v>
      </c>
      <c r="B903" s="7">
        <v>44223</v>
      </c>
      <c r="C903" s="2" t="s">
        <v>5585</v>
      </c>
      <c r="D903" t="s">
        <v>6177</v>
      </c>
      <c r="E903" s="2">
        <v>1</v>
      </c>
      <c r="F903" s="2" t="str">
        <f>_xlfn.XLOOKUP(C903,customers!$A$1:$A$1001,customers!$B$1:$B$1001,"",0)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6">
        <f>INDEX(products!$A$1:$G$49,MATCH(orders!$D903,products!$A$1:$A$49,0),MATCH(orders!K$1,products!$A$1:$G$1,0))</f>
        <v>0.2</v>
      </c>
      <c r="L903" s="4">
        <f>INDEX(products!$A$1:$G$49,MATCH(orders!$D903,products!$A$1:$A$49,0),MATCH(orders!L$1,products!$A$1:$G$1,0))</f>
        <v>3.5849999999999995</v>
      </c>
      <c r="M903" s="4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hidden="1" x14ac:dyDescent="0.3">
      <c r="A904" s="2" t="s">
        <v>5590</v>
      </c>
      <c r="B904" s="7">
        <v>43640</v>
      </c>
      <c r="C904" s="2" t="s">
        <v>5591</v>
      </c>
      <c r="D904" t="s">
        <v>6165</v>
      </c>
      <c r="E904" s="2">
        <v>5</v>
      </c>
      <c r="F904" s="2" t="str">
        <f>_xlfn.XLOOKUP(C904,customers!$A$1:$A$1001,customers!$B$1:$B$1001,"",0)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6">
        <f>INDEX(products!$A$1:$G$49,MATCH(orders!$D904,products!$A$1:$A$49,0),MATCH(orders!K$1,products!$A$1:$G$1,0))</f>
        <v>2.5</v>
      </c>
      <c r="L904" s="4">
        <f>INDEX(products!$A$1:$G$49,MATCH(orders!$D904,products!$A$1:$A$49,0),MATCH(orders!L$1,products!$A$1:$G$1,0))</f>
        <v>31.624999999999996</v>
      </c>
      <c r="M904" s="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hidden="1" x14ac:dyDescent="0.3">
      <c r="A905" s="2" t="s">
        <v>5596</v>
      </c>
      <c r="B905" s="7">
        <v>43905</v>
      </c>
      <c r="C905" s="2" t="s">
        <v>5597</v>
      </c>
      <c r="D905" t="s">
        <v>6159</v>
      </c>
      <c r="E905" s="2">
        <v>2</v>
      </c>
      <c r="F905" s="2" t="str">
        <f>_xlfn.XLOOKUP(C905,customers!$A$1:$A$1001,customers!$B$1:$B$1001,"",0)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6">
        <f>INDEX(products!$A$1:$G$49,MATCH(orders!$D905,products!$A$1:$A$49,0),MATCH(orders!K$1,products!$A$1:$G$1,0))</f>
        <v>0.5</v>
      </c>
      <c r="L905" s="4">
        <f>INDEX(products!$A$1:$G$49,MATCH(orders!$D905,products!$A$1:$A$49,0),MATCH(orders!L$1,products!$A$1:$G$1,0))</f>
        <v>8.73</v>
      </c>
      <c r="M905" s="4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hidden="1" x14ac:dyDescent="0.3">
      <c r="A906" s="2" t="s">
        <v>5602</v>
      </c>
      <c r="B906" s="7">
        <v>44463</v>
      </c>
      <c r="C906" s="2" t="s">
        <v>5603</v>
      </c>
      <c r="D906" t="s">
        <v>6181</v>
      </c>
      <c r="E906" s="2">
        <v>5</v>
      </c>
      <c r="F906" s="2" t="str">
        <f>_xlfn.XLOOKUP(C906,customers!$A$1:$A$1001,customers!$B$1:$B$1001,"",0)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6">
        <f>INDEX(products!$A$1:$G$49,MATCH(orders!$D906,products!$A$1:$A$49,0),MATCH(orders!K$1,products!$A$1:$G$1,0))</f>
        <v>2.5</v>
      </c>
      <c r="L906" s="4">
        <f>INDEX(products!$A$1:$G$49,MATCH(orders!$D906,products!$A$1:$A$49,0),MATCH(orders!L$1,products!$A$1:$G$1,0))</f>
        <v>29.784999999999997</v>
      </c>
      <c r="M906" s="4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hidden="1" x14ac:dyDescent="0.3">
      <c r="A907" s="2" t="s">
        <v>5608</v>
      </c>
      <c r="B907" s="7">
        <v>43560</v>
      </c>
      <c r="C907" s="2" t="s">
        <v>5609</v>
      </c>
      <c r="D907" t="s">
        <v>6156</v>
      </c>
      <c r="E907" s="2">
        <v>6</v>
      </c>
      <c r="F907" s="2" t="str">
        <f>_xlfn.XLOOKUP(C907,customers!$A$1:$A$1001,customers!$B$1:$B$1001,"",0)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6">
        <f>INDEX(products!$A$1:$G$49,MATCH(orders!$D907,products!$A$1:$A$49,0),MATCH(orders!K$1,products!$A$1:$G$1,0))</f>
        <v>0.5</v>
      </c>
      <c r="L907" s="4">
        <f>INDEX(products!$A$1:$G$49,MATCH(orders!$D907,products!$A$1:$A$49,0),MATCH(orders!L$1,products!$A$1:$G$1,0))</f>
        <v>6.75</v>
      </c>
      <c r="M907" s="4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3">
      <c r="A908" s="2" t="s">
        <v>5613</v>
      </c>
      <c r="B908" s="7">
        <v>44588</v>
      </c>
      <c r="C908" s="2" t="s">
        <v>5614</v>
      </c>
      <c r="D908" t="s">
        <v>6156</v>
      </c>
      <c r="E908" s="2">
        <v>4</v>
      </c>
      <c r="F908" s="2" t="str">
        <f>_xlfn.XLOOKUP(C908,customers!$A$1:$A$1001,customers!$B$1:$B$1001,"",0)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6">
        <f>INDEX(products!$A$1:$G$49,MATCH(orders!$D908,products!$A$1:$A$49,0),MATCH(orders!K$1,products!$A$1:$G$1,0))</f>
        <v>0.5</v>
      </c>
      <c r="L908" s="4">
        <f>INDEX(products!$A$1:$G$49,MATCH(orders!$D908,products!$A$1:$A$49,0),MATCH(orders!L$1,products!$A$1:$G$1,0))</f>
        <v>6.75</v>
      </c>
      <c r="M908" s="4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hidden="1" x14ac:dyDescent="0.3">
      <c r="A909" s="2" t="s">
        <v>5619</v>
      </c>
      <c r="B909" s="7">
        <v>44449</v>
      </c>
      <c r="C909" s="2" t="s">
        <v>5620</v>
      </c>
      <c r="D909" t="s">
        <v>6142</v>
      </c>
      <c r="E909" s="2">
        <v>3</v>
      </c>
      <c r="F909" s="2" t="str">
        <f>_xlfn.XLOOKUP(C909,customers!$A$1:$A$1001,customers!$B$1:$B$1001,"",0)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6">
        <f>INDEX(products!$A$1:$G$49,MATCH(orders!$D909,products!$A$1:$A$49,0),MATCH(orders!K$1,products!$A$1:$G$1,0))</f>
        <v>1</v>
      </c>
      <c r="L909" s="4">
        <f>INDEX(products!$A$1:$G$49,MATCH(orders!$D909,products!$A$1:$A$49,0),MATCH(orders!L$1,products!$A$1:$G$1,0))</f>
        <v>12.95</v>
      </c>
      <c r="M909" s="4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hidden="1" x14ac:dyDescent="0.3">
      <c r="A910" s="2" t="s">
        <v>5625</v>
      </c>
      <c r="B910" s="7">
        <v>43836</v>
      </c>
      <c r="C910" s="2" t="s">
        <v>5626</v>
      </c>
      <c r="D910" t="s">
        <v>6178</v>
      </c>
      <c r="E910" s="2">
        <v>5</v>
      </c>
      <c r="F910" s="2" t="str">
        <f>_xlfn.XLOOKUP(C910,customers!$A$1:$A$1001,customers!$B$1:$B$1001,"",0)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6">
        <f>INDEX(products!$A$1:$G$49,MATCH(orders!$D910,products!$A$1:$A$49,0),MATCH(orders!K$1,products!$A$1:$G$1,0))</f>
        <v>1</v>
      </c>
      <c r="L910" s="4">
        <f>INDEX(products!$A$1:$G$49,MATCH(orders!$D910,products!$A$1:$A$49,0),MATCH(orders!L$1,products!$A$1:$G$1,0))</f>
        <v>11.95</v>
      </c>
      <c r="M910" s="4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3">
      <c r="A911" s="2" t="s">
        <v>5631</v>
      </c>
      <c r="B911" s="7">
        <v>44635</v>
      </c>
      <c r="C911" s="2" t="s">
        <v>5632</v>
      </c>
      <c r="D911" t="s">
        <v>6177</v>
      </c>
      <c r="E911" s="2">
        <v>3</v>
      </c>
      <c r="F911" s="2" t="str">
        <f>_xlfn.XLOOKUP(C911,customers!$A$1:$A$1001,customers!$B$1:$B$1001,"",0)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6">
        <f>INDEX(products!$A$1:$G$49,MATCH(orders!$D911,products!$A$1:$A$49,0),MATCH(orders!K$1,products!$A$1:$G$1,0))</f>
        <v>0.2</v>
      </c>
      <c r="L911" s="4">
        <f>INDEX(products!$A$1:$G$49,MATCH(orders!$D911,products!$A$1:$A$49,0),MATCH(orders!L$1,products!$A$1:$G$1,0))</f>
        <v>3.5849999999999995</v>
      </c>
      <c r="M911" s="4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hidden="1" x14ac:dyDescent="0.3">
      <c r="A912" s="2" t="s">
        <v>5636</v>
      </c>
      <c r="B912" s="7">
        <v>44447</v>
      </c>
      <c r="C912" s="2" t="s">
        <v>5637</v>
      </c>
      <c r="D912" t="s">
        <v>6167</v>
      </c>
      <c r="E912" s="2">
        <v>4</v>
      </c>
      <c r="F912" s="2" t="str">
        <f>_xlfn.XLOOKUP(C912,customers!$A$1:$A$1001,customers!$B$1:$B$1001,"",0)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6">
        <f>INDEX(products!$A$1:$G$49,MATCH(orders!$D912,products!$A$1:$A$49,0),MATCH(orders!K$1,products!$A$1:$G$1,0))</f>
        <v>2.5</v>
      </c>
      <c r="L912" s="4">
        <f>INDEX(products!$A$1:$G$49,MATCH(orders!$D912,products!$A$1:$A$49,0),MATCH(orders!L$1,products!$A$1:$G$1,0))</f>
        <v>22.884999999999998</v>
      </c>
      <c r="M912" s="4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hidden="1" x14ac:dyDescent="0.3">
      <c r="A913" s="2" t="s">
        <v>5642</v>
      </c>
      <c r="B913" s="7">
        <v>44511</v>
      </c>
      <c r="C913" s="2" t="s">
        <v>5643</v>
      </c>
      <c r="D913" t="s">
        <v>6154</v>
      </c>
      <c r="E913" s="2">
        <v>4</v>
      </c>
      <c r="F913" s="2" t="str">
        <f>_xlfn.XLOOKUP(C913,customers!$A$1:$A$1001,customers!$B$1:$B$1001,"",0)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6">
        <f>INDEX(products!$A$1:$G$49,MATCH(orders!$D913,products!$A$1:$A$49,0),MATCH(orders!K$1,products!$A$1:$G$1,0))</f>
        <v>1</v>
      </c>
      <c r="L913" s="4">
        <f>INDEX(products!$A$1:$G$49,MATCH(orders!$D913,products!$A$1:$A$49,0),MATCH(orders!L$1,products!$A$1:$G$1,0))</f>
        <v>11.25</v>
      </c>
      <c r="M913" s="4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hidden="1" x14ac:dyDescent="0.3">
      <c r="A914" s="2" t="s">
        <v>5648</v>
      </c>
      <c r="B914" s="7">
        <v>43726</v>
      </c>
      <c r="C914" s="2" t="s">
        <v>5649</v>
      </c>
      <c r="D914" t="s">
        <v>6150</v>
      </c>
      <c r="E914" s="2">
        <v>6</v>
      </c>
      <c r="F914" s="2" t="str">
        <f>_xlfn.XLOOKUP(C914,customers!$A$1:$A$1001,customers!$B$1:$B$1001,"",0)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6">
        <f>INDEX(products!$A$1:$G$49,MATCH(orders!$D914,products!$A$1:$A$49,0),MATCH(orders!K$1,products!$A$1:$G$1,0))</f>
        <v>2.5</v>
      </c>
      <c r="L914" s="4">
        <f>INDEX(products!$A$1:$G$49,MATCH(orders!$D914,products!$A$1:$A$49,0),MATCH(orders!L$1,products!$A$1:$G$1,0))</f>
        <v>22.884999999999998</v>
      </c>
      <c r="M914" s="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hidden="1" x14ac:dyDescent="0.3">
      <c r="A915" s="2" t="s">
        <v>5653</v>
      </c>
      <c r="B915" s="7">
        <v>44406</v>
      </c>
      <c r="C915" s="2" t="s">
        <v>5654</v>
      </c>
      <c r="D915" t="s">
        <v>6156</v>
      </c>
      <c r="E915" s="2">
        <v>1</v>
      </c>
      <c r="F915" s="2" t="str">
        <f>_xlfn.XLOOKUP(C915,customers!$A$1:$A$1001,customers!$B$1:$B$1001,"",0)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6">
        <f>INDEX(products!$A$1:$G$49,MATCH(orders!$D915,products!$A$1:$A$49,0),MATCH(orders!K$1,products!$A$1:$G$1,0))</f>
        <v>0.5</v>
      </c>
      <c r="L915" s="4">
        <f>INDEX(products!$A$1:$G$49,MATCH(orders!$D915,products!$A$1:$A$49,0),MATCH(orders!L$1,products!$A$1:$G$1,0))</f>
        <v>6.75</v>
      </c>
      <c r="M915" s="4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3">
      <c r="A916" s="2" t="s">
        <v>5659</v>
      </c>
      <c r="B916" s="7">
        <v>44640</v>
      </c>
      <c r="C916" s="2" t="s">
        <v>5660</v>
      </c>
      <c r="D916" t="s">
        <v>6154</v>
      </c>
      <c r="E916" s="2">
        <v>4</v>
      </c>
      <c r="F916" s="2" t="str">
        <f>_xlfn.XLOOKUP(C916,customers!$A$1:$A$1001,customers!$B$1:$B$1001,"",0)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6">
        <f>INDEX(products!$A$1:$G$49,MATCH(orders!$D916,products!$A$1:$A$49,0),MATCH(orders!K$1,products!$A$1:$G$1,0))</f>
        <v>1</v>
      </c>
      <c r="L916" s="4">
        <f>INDEX(products!$A$1:$G$49,MATCH(orders!$D916,products!$A$1:$A$49,0),MATCH(orders!L$1,products!$A$1:$G$1,0))</f>
        <v>11.25</v>
      </c>
      <c r="M916" s="4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hidden="1" x14ac:dyDescent="0.3">
      <c r="A917" s="2" t="s">
        <v>5665</v>
      </c>
      <c r="B917" s="7">
        <v>43955</v>
      </c>
      <c r="C917" s="2" t="s">
        <v>5666</v>
      </c>
      <c r="D917" t="s">
        <v>6184</v>
      </c>
      <c r="E917" s="2">
        <v>3</v>
      </c>
      <c r="F917" s="2" t="str">
        <f>_xlfn.XLOOKUP(C917,customers!$A$1:$A$1001,customers!$B$1:$B$1001,"",0)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6">
        <f>INDEX(products!$A$1:$G$49,MATCH(orders!$D917,products!$A$1:$A$49,0),MATCH(orders!K$1,products!$A$1:$G$1,0))</f>
        <v>2.5</v>
      </c>
      <c r="L917" s="4">
        <f>INDEX(products!$A$1:$G$49,MATCH(orders!$D917,products!$A$1:$A$49,0),MATCH(orders!L$1,products!$A$1:$G$1,0))</f>
        <v>27.945</v>
      </c>
      <c r="M917" s="4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hidden="1" x14ac:dyDescent="0.3">
      <c r="A918" s="2" t="s">
        <v>5671</v>
      </c>
      <c r="B918" s="7">
        <v>44291</v>
      </c>
      <c r="C918" s="2" t="s">
        <v>5672</v>
      </c>
      <c r="D918" t="s">
        <v>6152</v>
      </c>
      <c r="E918" s="2">
        <v>1</v>
      </c>
      <c r="F918" s="2" t="str">
        <f>_xlfn.XLOOKUP(C918,customers!$A$1:$A$1001,customers!$B$1:$B$1001,"",0)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6">
        <f>INDEX(products!$A$1:$G$49,MATCH(orders!$D918,products!$A$1:$A$49,0),MATCH(orders!K$1,products!$A$1:$G$1,0))</f>
        <v>0.2</v>
      </c>
      <c r="L918" s="4">
        <f>INDEX(products!$A$1:$G$49,MATCH(orders!$D918,products!$A$1:$A$49,0),MATCH(orders!L$1,products!$A$1:$G$1,0))</f>
        <v>3.645</v>
      </c>
      <c r="M918" s="4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3">
      <c r="A919" s="2" t="s">
        <v>5675</v>
      </c>
      <c r="B919" s="7">
        <v>44573</v>
      </c>
      <c r="C919" s="2" t="s">
        <v>5676</v>
      </c>
      <c r="D919" t="s">
        <v>6156</v>
      </c>
      <c r="E919" s="2">
        <v>1</v>
      </c>
      <c r="F919" s="2" t="str">
        <f>_xlfn.XLOOKUP(C919,customers!$A$1:$A$1001,customers!$B$1:$B$1001,"",0)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6">
        <f>INDEX(products!$A$1:$G$49,MATCH(orders!$D919,products!$A$1:$A$49,0),MATCH(orders!K$1,products!$A$1:$G$1,0))</f>
        <v>0.5</v>
      </c>
      <c r="L919" s="4">
        <f>INDEX(products!$A$1:$G$49,MATCH(orders!$D919,products!$A$1:$A$49,0),MATCH(orders!L$1,products!$A$1:$G$1,0))</f>
        <v>6.75</v>
      </c>
      <c r="M919" s="4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3">
      <c r="A920" s="2" t="s">
        <v>5675</v>
      </c>
      <c r="B920" s="7">
        <v>44573</v>
      </c>
      <c r="C920" s="2" t="s">
        <v>5676</v>
      </c>
      <c r="D920" t="s">
        <v>6143</v>
      </c>
      <c r="E920" s="2">
        <v>3</v>
      </c>
      <c r="F920" s="2" t="str">
        <f>_xlfn.XLOOKUP(C920,customers!$A$1:$A$1001,customers!$B$1:$B$1001,"",0)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6">
        <f>INDEX(products!$A$1:$G$49,MATCH(orders!$D920,products!$A$1:$A$49,0),MATCH(orders!K$1,products!$A$1:$G$1,0))</f>
        <v>0.5</v>
      </c>
      <c r="L920" s="4">
        <f>INDEX(products!$A$1:$G$49,MATCH(orders!$D920,products!$A$1:$A$49,0),MATCH(orders!L$1,products!$A$1:$G$1,0))</f>
        <v>7.29</v>
      </c>
      <c r="M920" s="4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hidden="1" x14ac:dyDescent="0.3">
      <c r="A921" s="2" t="s">
        <v>5686</v>
      </c>
      <c r="B921" s="7">
        <v>44181</v>
      </c>
      <c r="C921" s="2" t="s">
        <v>5687</v>
      </c>
      <c r="D921" t="s">
        <v>6162</v>
      </c>
      <c r="E921" s="2">
        <v>5</v>
      </c>
      <c r="F921" s="2" t="str">
        <f>_xlfn.XLOOKUP(C921,customers!$A$1:$A$1001,customers!$B$1:$B$1001,"",0)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6">
        <f>INDEX(products!$A$1:$G$49,MATCH(orders!$D921,products!$A$1:$A$49,0),MATCH(orders!K$1,products!$A$1:$G$1,0))</f>
        <v>0.2</v>
      </c>
      <c r="L921" s="4">
        <f>INDEX(products!$A$1:$G$49,MATCH(orders!$D921,products!$A$1:$A$49,0),MATCH(orders!L$1,products!$A$1:$G$1,0))</f>
        <v>2.6849999999999996</v>
      </c>
      <c r="M921" s="4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3">
      <c r="A922" s="2" t="s">
        <v>5692</v>
      </c>
      <c r="B922" s="7">
        <v>44711</v>
      </c>
      <c r="C922" s="2" t="s">
        <v>5693</v>
      </c>
      <c r="D922" t="s">
        <v>6148</v>
      </c>
      <c r="E922" s="2">
        <v>6</v>
      </c>
      <c r="F922" s="2" t="str">
        <f>_xlfn.XLOOKUP(C922,customers!$A$1:$A$1001,customers!$B$1:$B$1001,"",0)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6">
        <f>INDEX(products!$A$1:$G$49,MATCH(orders!$D922,products!$A$1:$A$49,0),MATCH(orders!K$1,products!$A$1:$G$1,0))</f>
        <v>2.5</v>
      </c>
      <c r="L922" s="4">
        <f>INDEX(products!$A$1:$G$49,MATCH(orders!$D922,products!$A$1:$A$49,0),MATCH(orders!L$1,products!$A$1:$G$1,0))</f>
        <v>20.584999999999997</v>
      </c>
      <c r="M922" s="4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hidden="1" x14ac:dyDescent="0.3">
      <c r="A923" s="2" t="s">
        <v>5698</v>
      </c>
      <c r="B923" s="7">
        <v>44509</v>
      </c>
      <c r="C923" s="2" t="s">
        <v>5699</v>
      </c>
      <c r="D923" t="s">
        <v>6149</v>
      </c>
      <c r="E923" s="2">
        <v>2</v>
      </c>
      <c r="F923" s="2" t="str">
        <f>_xlfn.XLOOKUP(C923,customers!$A$1:$A$1001,customers!$B$1:$B$1001,"",0)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6">
        <f>INDEX(products!$A$1:$G$49,MATCH(orders!$D923,products!$A$1:$A$49,0),MATCH(orders!K$1,products!$A$1:$G$1,0))</f>
        <v>0.2</v>
      </c>
      <c r="L923" s="4">
        <f>INDEX(products!$A$1:$G$49,MATCH(orders!$D923,products!$A$1:$A$49,0),MATCH(orders!L$1,products!$A$1:$G$1,0))</f>
        <v>3.8849999999999998</v>
      </c>
      <c r="M923" s="4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3">
      <c r="A924" s="2" t="s">
        <v>5704</v>
      </c>
      <c r="B924" s="7">
        <v>44659</v>
      </c>
      <c r="C924" s="2" t="s">
        <v>5705</v>
      </c>
      <c r="D924" t="s">
        <v>6154</v>
      </c>
      <c r="E924" s="2">
        <v>6</v>
      </c>
      <c r="F924" s="2" t="str">
        <f>_xlfn.XLOOKUP(C924,customers!$A$1:$A$1001,customers!$B$1:$B$1001,"",0)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6">
        <f>INDEX(products!$A$1:$G$49,MATCH(orders!$D924,products!$A$1:$A$49,0),MATCH(orders!K$1,products!$A$1:$G$1,0))</f>
        <v>1</v>
      </c>
      <c r="L924" s="4">
        <f>INDEX(products!$A$1:$G$49,MATCH(orders!$D924,products!$A$1:$A$49,0),MATCH(orders!L$1,products!$A$1:$G$1,0))</f>
        <v>11.25</v>
      </c>
      <c r="M924" s="4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hidden="1" x14ac:dyDescent="0.3">
      <c r="A925" s="2" t="s">
        <v>5708</v>
      </c>
      <c r="B925" s="7">
        <v>43746</v>
      </c>
      <c r="C925" s="2" t="s">
        <v>5709</v>
      </c>
      <c r="D925" t="s">
        <v>6184</v>
      </c>
      <c r="E925" s="2">
        <v>1</v>
      </c>
      <c r="F925" s="2" t="str">
        <f>_xlfn.XLOOKUP(C925,customers!$A$1:$A$1001,customers!$B$1:$B$1001,"",0)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6">
        <f>INDEX(products!$A$1:$G$49,MATCH(orders!$D925,products!$A$1:$A$49,0),MATCH(orders!K$1,products!$A$1:$G$1,0))</f>
        <v>2.5</v>
      </c>
      <c r="L925" s="4">
        <f>INDEX(products!$A$1:$G$49,MATCH(orders!$D925,products!$A$1:$A$49,0),MATCH(orders!L$1,products!$A$1:$G$1,0))</f>
        <v>27.945</v>
      </c>
      <c r="M925" s="4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hidden="1" x14ac:dyDescent="0.3">
      <c r="A926" s="2" t="s">
        <v>5714</v>
      </c>
      <c r="B926" s="7">
        <v>44451</v>
      </c>
      <c r="C926" s="2" t="s">
        <v>5715</v>
      </c>
      <c r="D926" t="s">
        <v>6181</v>
      </c>
      <c r="E926" s="2">
        <v>3</v>
      </c>
      <c r="F926" s="2" t="str">
        <f>_xlfn.XLOOKUP(C926,customers!$A$1:$A$1001,customers!$B$1:$B$1001,"",0)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6">
        <f>INDEX(products!$A$1:$G$49,MATCH(orders!$D926,products!$A$1:$A$49,0),MATCH(orders!K$1,products!$A$1:$G$1,0))</f>
        <v>2.5</v>
      </c>
      <c r="L926" s="4">
        <f>INDEX(products!$A$1:$G$49,MATCH(orders!$D926,products!$A$1:$A$49,0),MATCH(orders!L$1,products!$A$1:$G$1,0))</f>
        <v>29.784999999999997</v>
      </c>
      <c r="M926" s="4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3">
      <c r="A927" s="2" t="s">
        <v>5719</v>
      </c>
      <c r="B927" s="7">
        <v>44770</v>
      </c>
      <c r="C927" s="2" t="s">
        <v>5553</v>
      </c>
      <c r="D927" t="s">
        <v>6156</v>
      </c>
      <c r="E927" s="2">
        <v>3</v>
      </c>
      <c r="F927" s="2" t="str">
        <f>_xlfn.XLOOKUP(C927,customers!$A$1:$A$1001,customers!$B$1:$B$1001,"",0)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6">
        <f>INDEX(products!$A$1:$G$49,MATCH(orders!$D927,products!$A$1:$A$49,0),MATCH(orders!K$1,products!$A$1:$G$1,0))</f>
        <v>0.5</v>
      </c>
      <c r="L927" s="4">
        <f>INDEX(products!$A$1:$G$49,MATCH(orders!$D927,products!$A$1:$A$49,0),MATCH(orders!L$1,products!$A$1:$G$1,0))</f>
        <v>6.75</v>
      </c>
      <c r="M927" s="4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hidden="1" x14ac:dyDescent="0.3">
      <c r="A928" s="2" t="s">
        <v>5724</v>
      </c>
      <c r="B928" s="7">
        <v>44012</v>
      </c>
      <c r="C928" s="2" t="s">
        <v>5725</v>
      </c>
      <c r="D928" t="s">
        <v>6156</v>
      </c>
      <c r="E928" s="2">
        <v>5</v>
      </c>
      <c r="F928" s="2" t="str">
        <f>_xlfn.XLOOKUP(C928,customers!$A$1:$A$1001,customers!$B$1:$B$1001,"",0)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6">
        <f>INDEX(products!$A$1:$G$49,MATCH(orders!$D928,products!$A$1:$A$49,0),MATCH(orders!K$1,products!$A$1:$G$1,0))</f>
        <v>0.5</v>
      </c>
      <c r="L928" s="4">
        <f>INDEX(products!$A$1:$G$49,MATCH(orders!$D928,products!$A$1:$A$49,0),MATCH(orders!L$1,products!$A$1:$G$1,0))</f>
        <v>6.75</v>
      </c>
      <c r="M928" s="4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hidden="1" x14ac:dyDescent="0.3">
      <c r="A929" s="2" t="s">
        <v>5730</v>
      </c>
      <c r="B929" s="7">
        <v>43474</v>
      </c>
      <c r="C929" s="2" t="s">
        <v>5731</v>
      </c>
      <c r="D929" t="s">
        <v>6184</v>
      </c>
      <c r="E929" s="2">
        <v>4</v>
      </c>
      <c r="F929" s="2" t="str">
        <f>_xlfn.XLOOKUP(C929,customers!$A$1:$A$1001,customers!$B$1:$B$1001,"",0)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6">
        <f>INDEX(products!$A$1:$G$49,MATCH(orders!$D929,products!$A$1:$A$49,0),MATCH(orders!K$1,products!$A$1:$G$1,0))</f>
        <v>2.5</v>
      </c>
      <c r="L929" s="4">
        <f>INDEX(products!$A$1:$G$49,MATCH(orders!$D929,products!$A$1:$A$49,0),MATCH(orders!L$1,products!$A$1:$G$1,0))</f>
        <v>27.945</v>
      </c>
      <c r="M929" s="4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3">
      <c r="A930" s="2" t="s">
        <v>5736</v>
      </c>
      <c r="B930" s="7">
        <v>44754</v>
      </c>
      <c r="C930" s="2" t="s">
        <v>5737</v>
      </c>
      <c r="D930" t="s">
        <v>6165</v>
      </c>
      <c r="E930" s="2">
        <v>2</v>
      </c>
      <c r="F930" s="2" t="str">
        <f>_xlfn.XLOOKUP(C930,customers!$A$1:$A$1001,customers!$B$1:$B$1001,"",0)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6">
        <f>INDEX(products!$A$1:$G$49,MATCH(orders!$D930,products!$A$1:$A$49,0),MATCH(orders!K$1,products!$A$1:$G$1,0))</f>
        <v>2.5</v>
      </c>
      <c r="L930" s="4">
        <f>INDEX(products!$A$1:$G$49,MATCH(orders!$D930,products!$A$1:$A$49,0),MATCH(orders!L$1,products!$A$1:$G$1,0))</f>
        <v>31.624999999999996</v>
      </c>
      <c r="M930" s="4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hidden="1" x14ac:dyDescent="0.3">
      <c r="A931" s="2" t="s">
        <v>5741</v>
      </c>
      <c r="B931" s="7">
        <v>44165</v>
      </c>
      <c r="C931" s="2" t="s">
        <v>5742</v>
      </c>
      <c r="D931" t="s">
        <v>6183</v>
      </c>
      <c r="E931" s="2">
        <v>2</v>
      </c>
      <c r="F931" s="2" t="str">
        <f>_xlfn.XLOOKUP(C931,customers!$A$1:$A$1001,customers!$B$1:$B$1001,"",0)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6">
        <f>INDEX(products!$A$1:$G$49,MATCH(orders!$D931,products!$A$1:$A$49,0),MATCH(orders!K$1,products!$A$1:$G$1,0))</f>
        <v>0.2</v>
      </c>
      <c r="L931" s="4">
        <f>INDEX(products!$A$1:$G$49,MATCH(orders!$D931,products!$A$1:$A$49,0),MATCH(orders!L$1,products!$A$1:$G$1,0))</f>
        <v>4.4550000000000001</v>
      </c>
      <c r="M931" s="4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hidden="1" x14ac:dyDescent="0.3">
      <c r="A932" s="2" t="s">
        <v>5747</v>
      </c>
      <c r="B932" s="7">
        <v>43546</v>
      </c>
      <c r="C932" s="2" t="s">
        <v>5748</v>
      </c>
      <c r="D932" t="s">
        <v>6182</v>
      </c>
      <c r="E932" s="2">
        <v>1</v>
      </c>
      <c r="F932" s="2" t="str">
        <f>_xlfn.XLOOKUP(C932,customers!$A$1:$A$1001,customers!$B$1:$B$1001,"",0)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6">
        <f>INDEX(products!$A$1:$G$49,MATCH(orders!$D932,products!$A$1:$A$49,0),MATCH(orders!K$1,products!$A$1:$G$1,0))</f>
        <v>1</v>
      </c>
      <c r="L932" s="4">
        <f>INDEX(products!$A$1:$G$49,MATCH(orders!$D932,products!$A$1:$A$49,0),MATCH(orders!L$1,products!$A$1:$G$1,0))</f>
        <v>12.15</v>
      </c>
      <c r="M932" s="4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3">
      <c r="A933" s="2" t="s">
        <v>5752</v>
      </c>
      <c r="B933" s="7">
        <v>44607</v>
      </c>
      <c r="C933" s="2" t="s">
        <v>5753</v>
      </c>
      <c r="D933" t="s">
        <v>6157</v>
      </c>
      <c r="E933" s="2">
        <v>4</v>
      </c>
      <c r="F933" s="2" t="str">
        <f>_xlfn.XLOOKUP(C933,customers!$A$1:$A$1001,customers!$B$1:$B$1001,"",0)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6">
        <f>INDEX(products!$A$1:$G$49,MATCH(orders!$D933,products!$A$1:$A$49,0),MATCH(orders!K$1,products!$A$1:$G$1,0))</f>
        <v>0.5</v>
      </c>
      <c r="L933" s="4">
        <f>INDEX(products!$A$1:$G$49,MATCH(orders!$D933,products!$A$1:$A$49,0),MATCH(orders!L$1,products!$A$1:$G$1,0))</f>
        <v>5.97</v>
      </c>
      <c r="M933" s="4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hidden="1" x14ac:dyDescent="0.3">
      <c r="A934" s="2" t="s">
        <v>5756</v>
      </c>
      <c r="B934" s="7">
        <v>44117</v>
      </c>
      <c r="C934" s="2" t="s">
        <v>5757</v>
      </c>
      <c r="D934" t="s">
        <v>6140</v>
      </c>
      <c r="E934" s="2">
        <v>4</v>
      </c>
      <c r="F934" s="2" t="str">
        <f>_xlfn.XLOOKUP(C934,customers!$A$1:$A$1001,customers!$B$1:$B$1001,"",0)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6">
        <f>INDEX(products!$A$1:$G$49,MATCH(orders!$D934,products!$A$1:$A$49,0),MATCH(orders!K$1,products!$A$1:$G$1,0))</f>
        <v>1</v>
      </c>
      <c r="L934" s="4">
        <f>INDEX(products!$A$1:$G$49,MATCH(orders!$D934,products!$A$1:$A$49,0),MATCH(orders!L$1,products!$A$1:$G$1,0))</f>
        <v>13.75</v>
      </c>
      <c r="M934" s="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hidden="1" x14ac:dyDescent="0.3">
      <c r="A935" s="2" t="s">
        <v>5762</v>
      </c>
      <c r="B935" s="7">
        <v>44557</v>
      </c>
      <c r="C935" s="2" t="s">
        <v>5763</v>
      </c>
      <c r="D935" t="s">
        <v>6176</v>
      </c>
      <c r="E935" s="2">
        <v>3</v>
      </c>
      <c r="F935" s="2" t="str">
        <f>_xlfn.XLOOKUP(C935,customers!$A$1:$A$1001,customers!$B$1:$B$1001,"",0)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6">
        <f>INDEX(products!$A$1:$G$49,MATCH(orders!$D935,products!$A$1:$A$49,0),MATCH(orders!K$1,products!$A$1:$G$1,0))</f>
        <v>1</v>
      </c>
      <c r="L935" s="4">
        <f>INDEX(products!$A$1:$G$49,MATCH(orders!$D935,products!$A$1:$A$49,0),MATCH(orders!L$1,products!$A$1:$G$1,0))</f>
        <v>8.9499999999999993</v>
      </c>
      <c r="M935" s="4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hidden="1" x14ac:dyDescent="0.3">
      <c r="A936" s="2" t="s">
        <v>5767</v>
      </c>
      <c r="B936" s="7">
        <v>44409</v>
      </c>
      <c r="C936" s="2" t="s">
        <v>5768</v>
      </c>
      <c r="D936" t="s">
        <v>6150</v>
      </c>
      <c r="E936" s="2">
        <v>5</v>
      </c>
      <c r="F936" s="2" t="str">
        <f>_xlfn.XLOOKUP(C936,customers!$A$1:$A$1001,customers!$B$1:$B$1001,"",0)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6">
        <f>INDEX(products!$A$1:$G$49,MATCH(orders!$D936,products!$A$1:$A$49,0),MATCH(orders!K$1,products!$A$1:$G$1,0))</f>
        <v>2.5</v>
      </c>
      <c r="L936" s="4">
        <f>INDEX(products!$A$1:$G$49,MATCH(orders!$D936,products!$A$1:$A$49,0),MATCH(orders!L$1,products!$A$1:$G$1,0))</f>
        <v>22.884999999999998</v>
      </c>
      <c r="M936" s="4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hidden="1" x14ac:dyDescent="0.3">
      <c r="A937" s="2" t="s">
        <v>5773</v>
      </c>
      <c r="B937" s="7">
        <v>44153</v>
      </c>
      <c r="C937" s="2" t="s">
        <v>5774</v>
      </c>
      <c r="D937" t="s">
        <v>6174</v>
      </c>
      <c r="E937" s="2">
        <v>6</v>
      </c>
      <c r="F937" s="2" t="str">
        <f>_xlfn.XLOOKUP(C937,customers!$A$1:$A$1001,customers!$B$1:$B$1001,"",0)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6">
        <f>INDEX(products!$A$1:$G$49,MATCH(orders!$D937,products!$A$1:$A$49,0),MATCH(orders!K$1,products!$A$1:$G$1,0))</f>
        <v>2.5</v>
      </c>
      <c r="L937" s="4">
        <f>INDEX(products!$A$1:$G$49,MATCH(orders!$D937,products!$A$1:$A$49,0),MATCH(orders!L$1,products!$A$1:$G$1,0))</f>
        <v>25.874999999999996</v>
      </c>
      <c r="M937" s="4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hidden="1" x14ac:dyDescent="0.3">
      <c r="A938" s="2" t="s">
        <v>5779</v>
      </c>
      <c r="B938" s="7">
        <v>44493</v>
      </c>
      <c r="C938" s="2" t="s">
        <v>5780</v>
      </c>
      <c r="D938" t="s">
        <v>6168</v>
      </c>
      <c r="E938" s="2">
        <v>3</v>
      </c>
      <c r="F938" s="2" t="str">
        <f>_xlfn.XLOOKUP(C938,customers!$A$1:$A$1001,customers!$B$1:$B$1001,"",0)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6">
        <f>INDEX(products!$A$1:$G$49,MATCH(orders!$D938,products!$A$1:$A$49,0),MATCH(orders!K$1,products!$A$1:$G$1,0))</f>
        <v>0.5</v>
      </c>
      <c r="L938" s="4">
        <f>INDEX(products!$A$1:$G$49,MATCH(orders!$D938,products!$A$1:$A$49,0),MATCH(orders!L$1,products!$A$1:$G$1,0))</f>
        <v>7.77</v>
      </c>
      <c r="M938" s="4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hidden="1" x14ac:dyDescent="0.3">
      <c r="A939" s="2" t="s">
        <v>5779</v>
      </c>
      <c r="B939" s="7">
        <v>44493</v>
      </c>
      <c r="C939" s="2" t="s">
        <v>5780</v>
      </c>
      <c r="D939" t="s">
        <v>6150</v>
      </c>
      <c r="E939" s="2">
        <v>4</v>
      </c>
      <c r="F939" s="2" t="str">
        <f>_xlfn.XLOOKUP(C939,customers!$A$1:$A$1001,customers!$B$1:$B$1001,"",0)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6">
        <f>INDEX(products!$A$1:$G$49,MATCH(orders!$D939,products!$A$1:$A$49,0),MATCH(orders!K$1,products!$A$1:$G$1,0))</f>
        <v>2.5</v>
      </c>
      <c r="L939" s="4">
        <f>INDEX(products!$A$1:$G$49,MATCH(orders!$D939,products!$A$1:$A$49,0),MATCH(orders!L$1,products!$A$1:$G$1,0))</f>
        <v>22.884999999999998</v>
      </c>
      <c r="M939" s="4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hidden="1" x14ac:dyDescent="0.3">
      <c r="A940" s="2" t="s">
        <v>5790</v>
      </c>
      <c r="B940" s="7">
        <v>43829</v>
      </c>
      <c r="C940" s="2" t="s">
        <v>5791</v>
      </c>
      <c r="D940" t="s">
        <v>6170</v>
      </c>
      <c r="E940" s="2">
        <v>5</v>
      </c>
      <c r="F940" s="2" t="str">
        <f>_xlfn.XLOOKUP(C940,customers!$A$1:$A$1001,customers!$B$1:$B$1001,"",0)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6">
        <f>INDEX(products!$A$1:$G$49,MATCH(orders!$D940,products!$A$1:$A$49,0),MATCH(orders!K$1,products!$A$1:$G$1,0))</f>
        <v>1</v>
      </c>
      <c r="L940" s="4">
        <f>INDEX(products!$A$1:$G$49,MATCH(orders!$D940,products!$A$1:$A$49,0),MATCH(orders!L$1,products!$A$1:$G$1,0))</f>
        <v>14.85</v>
      </c>
      <c r="M940" s="4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hidden="1" x14ac:dyDescent="0.3">
      <c r="A941" s="2" t="s">
        <v>5796</v>
      </c>
      <c r="B941" s="7">
        <v>44229</v>
      </c>
      <c r="C941" s="2" t="s">
        <v>5797</v>
      </c>
      <c r="D941" t="s">
        <v>6144</v>
      </c>
      <c r="E941" s="2">
        <v>6</v>
      </c>
      <c r="F941" s="2" t="str">
        <f>_xlfn.XLOOKUP(C941,customers!$A$1:$A$1001,customers!$B$1:$B$1001,"",0)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6">
        <f>INDEX(products!$A$1:$G$49,MATCH(orders!$D941,products!$A$1:$A$49,0),MATCH(orders!K$1,products!$A$1:$G$1,0))</f>
        <v>0.2</v>
      </c>
      <c r="L941" s="4">
        <f>INDEX(products!$A$1:$G$49,MATCH(orders!$D941,products!$A$1:$A$49,0),MATCH(orders!L$1,products!$A$1:$G$1,0))</f>
        <v>4.7549999999999999</v>
      </c>
      <c r="M941" s="4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hidden="1" x14ac:dyDescent="0.3">
      <c r="A942" s="2" t="s">
        <v>5802</v>
      </c>
      <c r="B942" s="7">
        <v>44332</v>
      </c>
      <c r="C942" s="2" t="s">
        <v>5803</v>
      </c>
      <c r="D942" t="s">
        <v>6172</v>
      </c>
      <c r="E942" s="2">
        <v>2</v>
      </c>
      <c r="F942" s="2" t="str">
        <f>_xlfn.XLOOKUP(C942,customers!$A$1:$A$1001,customers!$B$1:$B$1001,"",0)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6">
        <f>INDEX(products!$A$1:$G$49,MATCH(orders!$D942,products!$A$1:$A$49,0),MATCH(orders!K$1,products!$A$1:$G$1,0))</f>
        <v>0.5</v>
      </c>
      <c r="L942" s="4">
        <f>INDEX(products!$A$1:$G$49,MATCH(orders!$D942,products!$A$1:$A$49,0),MATCH(orders!L$1,products!$A$1:$G$1,0))</f>
        <v>7.169999999999999</v>
      </c>
      <c r="M942" s="4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3">
      <c r="A943" s="2" t="s">
        <v>5808</v>
      </c>
      <c r="B943" s="7">
        <v>44674</v>
      </c>
      <c r="C943" s="2" t="s">
        <v>5809</v>
      </c>
      <c r="D943" t="s">
        <v>6179</v>
      </c>
      <c r="E943" s="2">
        <v>2</v>
      </c>
      <c r="F943" s="2" t="str">
        <f>_xlfn.XLOOKUP(C943,customers!$A$1:$A$1001,customers!$B$1:$B$1001,"",0)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6">
        <f>INDEX(products!$A$1:$G$49,MATCH(orders!$D943,products!$A$1:$A$49,0),MATCH(orders!K$1,products!$A$1:$G$1,0))</f>
        <v>0.5</v>
      </c>
      <c r="L943" s="4">
        <f>INDEX(products!$A$1:$G$49,MATCH(orders!$D943,products!$A$1:$A$49,0),MATCH(orders!L$1,products!$A$1:$G$1,0))</f>
        <v>7.77</v>
      </c>
      <c r="M943" s="4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hidden="1" x14ac:dyDescent="0.3">
      <c r="A944" s="2" t="s">
        <v>5815</v>
      </c>
      <c r="B944" s="7">
        <v>44464</v>
      </c>
      <c r="C944" s="2" t="s">
        <v>5816</v>
      </c>
      <c r="D944" t="s">
        <v>6178</v>
      </c>
      <c r="E944" s="2">
        <v>3</v>
      </c>
      <c r="F944" s="2" t="str">
        <f>_xlfn.XLOOKUP(C944,customers!$A$1:$A$1001,customers!$B$1:$B$1001,"",0)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6">
        <f>INDEX(products!$A$1:$G$49,MATCH(orders!$D944,products!$A$1:$A$49,0),MATCH(orders!K$1,products!$A$1:$G$1,0))</f>
        <v>1</v>
      </c>
      <c r="L944" s="4">
        <f>INDEX(products!$A$1:$G$49,MATCH(orders!$D944,products!$A$1:$A$49,0),MATCH(orders!L$1,products!$A$1:$G$1,0))</f>
        <v>11.95</v>
      </c>
      <c r="M944" s="4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3">
      <c r="A945" s="2" t="s">
        <v>5821</v>
      </c>
      <c r="B945" s="7">
        <v>44719</v>
      </c>
      <c r="C945" s="2" t="s">
        <v>5822</v>
      </c>
      <c r="D945" t="s">
        <v>6179</v>
      </c>
      <c r="E945" s="2">
        <v>6</v>
      </c>
      <c r="F945" s="2" t="str">
        <f>_xlfn.XLOOKUP(C945,customers!$A$1:$A$1001,customers!$B$1:$B$1001,"",0)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6">
        <f>INDEX(products!$A$1:$G$49,MATCH(orders!$D945,products!$A$1:$A$49,0),MATCH(orders!K$1,products!$A$1:$G$1,0))</f>
        <v>0.5</v>
      </c>
      <c r="L945" s="4">
        <f>INDEX(products!$A$1:$G$49,MATCH(orders!$D945,products!$A$1:$A$49,0),MATCH(orders!L$1,products!$A$1:$G$1,0))</f>
        <v>7.77</v>
      </c>
      <c r="M945" s="4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hidden="1" x14ac:dyDescent="0.3">
      <c r="A946" s="2" t="s">
        <v>5827</v>
      </c>
      <c r="B946" s="7">
        <v>44054</v>
      </c>
      <c r="C946" s="2" t="s">
        <v>5828</v>
      </c>
      <c r="D946" t="s">
        <v>6172</v>
      </c>
      <c r="E946" s="2">
        <v>5</v>
      </c>
      <c r="F946" s="2" t="str">
        <f>_xlfn.XLOOKUP(C946,customers!$A$1:$A$1001,customers!$B$1:$B$1001,"",0)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6">
        <f>INDEX(products!$A$1:$G$49,MATCH(orders!$D946,products!$A$1:$A$49,0),MATCH(orders!K$1,products!$A$1:$G$1,0))</f>
        <v>0.5</v>
      </c>
      <c r="L946" s="4">
        <f>INDEX(products!$A$1:$G$49,MATCH(orders!$D946,products!$A$1:$A$49,0),MATCH(orders!L$1,products!$A$1:$G$1,0))</f>
        <v>7.169999999999999</v>
      </c>
      <c r="M946" s="4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hidden="1" x14ac:dyDescent="0.3">
      <c r="A947" s="2" t="s">
        <v>5833</v>
      </c>
      <c r="B947" s="7">
        <v>43524</v>
      </c>
      <c r="C947" s="2" t="s">
        <v>5834</v>
      </c>
      <c r="D947" t="s">
        <v>6164</v>
      </c>
      <c r="E947" s="2">
        <v>4</v>
      </c>
      <c r="F947" s="2" t="str">
        <f>_xlfn.XLOOKUP(C947,customers!$A$1:$A$1001,customers!$B$1:$B$1001,"",0)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6">
        <f>INDEX(products!$A$1:$G$49,MATCH(orders!$D947,products!$A$1:$A$49,0),MATCH(orders!K$1,products!$A$1:$G$1,0))</f>
        <v>2.5</v>
      </c>
      <c r="L947" s="4">
        <f>INDEX(products!$A$1:$G$49,MATCH(orders!$D947,products!$A$1:$A$49,0),MATCH(orders!L$1,products!$A$1:$G$1,0))</f>
        <v>29.784999999999997</v>
      </c>
      <c r="M947" s="4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hidden="1" x14ac:dyDescent="0.3">
      <c r="A948" s="2" t="s">
        <v>5838</v>
      </c>
      <c r="B948" s="7">
        <v>43719</v>
      </c>
      <c r="C948" s="2" t="s">
        <v>5839</v>
      </c>
      <c r="D948" t="s">
        <v>6168</v>
      </c>
      <c r="E948" s="2">
        <v>3</v>
      </c>
      <c r="F948" s="2" t="str">
        <f>_xlfn.XLOOKUP(C948,customers!$A$1:$A$1001,customers!$B$1:$B$1001,"",0)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6">
        <f>INDEX(products!$A$1:$G$49,MATCH(orders!$D948,products!$A$1:$A$49,0),MATCH(orders!K$1,products!$A$1:$G$1,0))</f>
        <v>0.5</v>
      </c>
      <c r="L948" s="4">
        <f>INDEX(products!$A$1:$G$49,MATCH(orders!$D948,products!$A$1:$A$49,0),MATCH(orders!L$1,products!$A$1:$G$1,0))</f>
        <v>7.77</v>
      </c>
      <c r="M948" s="4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hidden="1" x14ac:dyDescent="0.3">
      <c r="A949" s="2" t="s">
        <v>5843</v>
      </c>
      <c r="B949" s="7">
        <v>44294</v>
      </c>
      <c r="C949" s="2" t="s">
        <v>5844</v>
      </c>
      <c r="D949" t="s">
        <v>6154</v>
      </c>
      <c r="E949" s="2">
        <v>1</v>
      </c>
      <c r="F949" s="2" t="str">
        <f>_xlfn.XLOOKUP(C949,customers!$A$1:$A$1001,customers!$B$1:$B$1001,"",0)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6">
        <f>INDEX(products!$A$1:$G$49,MATCH(orders!$D949,products!$A$1:$A$49,0),MATCH(orders!K$1,products!$A$1:$G$1,0))</f>
        <v>1</v>
      </c>
      <c r="L949" s="4">
        <f>INDEX(products!$A$1:$G$49,MATCH(orders!$D949,products!$A$1:$A$49,0),MATCH(orders!L$1,products!$A$1:$G$1,0))</f>
        <v>11.25</v>
      </c>
      <c r="M949" s="4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hidden="1" x14ac:dyDescent="0.3">
      <c r="A950" s="2" t="s">
        <v>5848</v>
      </c>
      <c r="B950" s="7">
        <v>44445</v>
      </c>
      <c r="C950" s="2" t="s">
        <v>5849</v>
      </c>
      <c r="D950" t="s">
        <v>6184</v>
      </c>
      <c r="E950" s="2">
        <v>3</v>
      </c>
      <c r="F950" s="2" t="str">
        <f>_xlfn.XLOOKUP(C950,customers!$A$1:$A$1001,customers!$B$1:$B$1001,"",0)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6">
        <f>INDEX(products!$A$1:$G$49,MATCH(orders!$D950,products!$A$1:$A$49,0),MATCH(orders!K$1,products!$A$1:$G$1,0))</f>
        <v>2.5</v>
      </c>
      <c r="L950" s="4">
        <f>INDEX(products!$A$1:$G$49,MATCH(orders!$D950,products!$A$1:$A$49,0),MATCH(orders!L$1,products!$A$1:$G$1,0))</f>
        <v>27.945</v>
      </c>
      <c r="M950" s="4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hidden="1" x14ac:dyDescent="0.3">
      <c r="A951" s="2" t="s">
        <v>5854</v>
      </c>
      <c r="B951" s="7">
        <v>44449</v>
      </c>
      <c r="C951" s="2" t="s">
        <v>5855</v>
      </c>
      <c r="D951" t="s">
        <v>6141</v>
      </c>
      <c r="E951" s="2">
        <v>4</v>
      </c>
      <c r="F951" s="2" t="str">
        <f>_xlfn.XLOOKUP(C951,customers!$A$1:$A$1001,customers!$B$1:$B$1001,"",0)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6">
        <f>INDEX(products!$A$1:$G$49,MATCH(orders!$D951,products!$A$1:$A$49,0),MATCH(orders!K$1,products!$A$1:$G$1,0))</f>
        <v>2.5</v>
      </c>
      <c r="L951" s="4">
        <f>INDEX(products!$A$1:$G$49,MATCH(orders!$D951,products!$A$1:$A$49,0),MATCH(orders!L$1,products!$A$1:$G$1,0))</f>
        <v>27.484999999999996</v>
      </c>
      <c r="M951" s="4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3">
      <c r="A952" s="2" t="s">
        <v>5860</v>
      </c>
      <c r="B952" s="7">
        <v>44703</v>
      </c>
      <c r="C952" s="2" t="s">
        <v>5861</v>
      </c>
      <c r="D952" t="s">
        <v>6177</v>
      </c>
      <c r="E952" s="2">
        <v>4</v>
      </c>
      <c r="F952" s="2" t="str">
        <f>_xlfn.XLOOKUP(C952,customers!$A$1:$A$1001,customers!$B$1:$B$1001,"",0)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6">
        <f>INDEX(products!$A$1:$G$49,MATCH(orders!$D952,products!$A$1:$A$49,0),MATCH(orders!K$1,products!$A$1:$G$1,0))</f>
        <v>0.2</v>
      </c>
      <c r="L952" s="4">
        <f>INDEX(products!$A$1:$G$49,MATCH(orders!$D952,products!$A$1:$A$49,0),MATCH(orders!L$1,products!$A$1:$G$1,0))</f>
        <v>3.5849999999999995</v>
      </c>
      <c r="M952" s="4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hidden="1" x14ac:dyDescent="0.3">
      <c r="A953" s="2" t="s">
        <v>5865</v>
      </c>
      <c r="B953" s="7">
        <v>44092</v>
      </c>
      <c r="C953" s="2" t="s">
        <v>5866</v>
      </c>
      <c r="D953" t="s">
        <v>6177</v>
      </c>
      <c r="E953" s="2">
        <v>6</v>
      </c>
      <c r="F953" s="2" t="str">
        <f>_xlfn.XLOOKUP(C953,customers!$A$1:$A$1001,customers!$B$1:$B$1001,"",0)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6">
        <f>INDEX(products!$A$1:$G$49,MATCH(orders!$D953,products!$A$1:$A$49,0),MATCH(orders!K$1,products!$A$1:$G$1,0))</f>
        <v>0.2</v>
      </c>
      <c r="L953" s="4">
        <f>INDEX(products!$A$1:$G$49,MATCH(orders!$D953,products!$A$1:$A$49,0),MATCH(orders!L$1,products!$A$1:$G$1,0))</f>
        <v>3.5849999999999995</v>
      </c>
      <c r="M953" s="4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hidden="1" x14ac:dyDescent="0.3">
      <c r="A954" s="2" t="s">
        <v>5871</v>
      </c>
      <c r="B954" s="7">
        <v>44439</v>
      </c>
      <c r="C954" s="2" t="s">
        <v>5872</v>
      </c>
      <c r="D954" t="s">
        <v>6154</v>
      </c>
      <c r="E954" s="2">
        <v>2</v>
      </c>
      <c r="F954" s="2" t="str">
        <f>_xlfn.XLOOKUP(C954,customers!$A$1:$A$1001,customers!$B$1:$B$1001,"",0)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6">
        <f>INDEX(products!$A$1:$G$49,MATCH(orders!$D954,products!$A$1:$A$49,0),MATCH(orders!K$1,products!$A$1:$G$1,0))</f>
        <v>1</v>
      </c>
      <c r="L954" s="4">
        <f>INDEX(products!$A$1:$G$49,MATCH(orders!$D954,products!$A$1:$A$49,0),MATCH(orders!L$1,products!$A$1:$G$1,0))</f>
        <v>11.25</v>
      </c>
      <c r="M954" s="4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3">
      <c r="A955" s="2" t="s">
        <v>5877</v>
      </c>
      <c r="B955" s="7">
        <v>44582</v>
      </c>
      <c r="C955" s="2" t="s">
        <v>5763</v>
      </c>
      <c r="D955" t="s">
        <v>6166</v>
      </c>
      <c r="E955" s="2">
        <v>1</v>
      </c>
      <c r="F955" s="2" t="str">
        <f>_xlfn.XLOOKUP(C955,customers!$A$1:$A$1001,customers!$B$1:$B$1001,"",0)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6">
        <f>INDEX(products!$A$1:$G$49,MATCH(orders!$D955,products!$A$1:$A$49,0),MATCH(orders!K$1,products!$A$1:$G$1,0))</f>
        <v>0.2</v>
      </c>
      <c r="L955" s="4">
        <f>INDEX(products!$A$1:$G$49,MATCH(orders!$D955,products!$A$1:$A$49,0),MATCH(orders!L$1,products!$A$1:$G$1,0))</f>
        <v>3.8849999999999998</v>
      </c>
      <c r="M955" s="4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3">
      <c r="A956" s="2" t="s">
        <v>5883</v>
      </c>
      <c r="B956" s="7">
        <v>44722</v>
      </c>
      <c r="C956" s="2" t="s">
        <v>5763</v>
      </c>
      <c r="D956" t="s">
        <v>6184</v>
      </c>
      <c r="E956" s="2">
        <v>1</v>
      </c>
      <c r="F956" s="2" t="str">
        <f>_xlfn.XLOOKUP(C956,customers!$A$1:$A$1001,customers!$B$1:$B$1001,"",0)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6">
        <f>INDEX(products!$A$1:$G$49,MATCH(orders!$D956,products!$A$1:$A$49,0),MATCH(orders!K$1,products!$A$1:$G$1,0))</f>
        <v>2.5</v>
      </c>
      <c r="L956" s="4">
        <f>INDEX(products!$A$1:$G$49,MATCH(orders!$D956,products!$A$1:$A$49,0),MATCH(orders!L$1,products!$A$1:$G$1,0))</f>
        <v>27.945</v>
      </c>
      <c r="M956" s="4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hidden="1" x14ac:dyDescent="0.3">
      <c r="A957" s="2" t="s">
        <v>5889</v>
      </c>
      <c r="B957" s="7">
        <v>43582</v>
      </c>
      <c r="C957" s="2" t="s">
        <v>5763</v>
      </c>
      <c r="D957" t="s">
        <v>6147</v>
      </c>
      <c r="E957" s="2">
        <v>5</v>
      </c>
      <c r="F957" s="2" t="str">
        <f>_xlfn.XLOOKUP(C957,customers!$A$1:$A$1001,customers!$B$1:$B$1001,"",0)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6">
        <f>INDEX(products!$A$1:$G$49,MATCH(orders!$D957,products!$A$1:$A$49,0),MATCH(orders!K$1,products!$A$1:$G$1,0))</f>
        <v>2.5</v>
      </c>
      <c r="L957" s="4">
        <f>INDEX(products!$A$1:$G$49,MATCH(orders!$D957,products!$A$1:$A$49,0),MATCH(orders!L$1,products!$A$1:$G$1,0))</f>
        <v>34.154999999999994</v>
      </c>
      <c r="M957" s="4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hidden="1" x14ac:dyDescent="0.3">
      <c r="A958" s="2" t="s">
        <v>5889</v>
      </c>
      <c r="B958" s="7">
        <v>43582</v>
      </c>
      <c r="C958" s="2" t="s">
        <v>5763</v>
      </c>
      <c r="D958" t="s">
        <v>6141</v>
      </c>
      <c r="E958" s="2">
        <v>2</v>
      </c>
      <c r="F958" s="2" t="str">
        <f>_xlfn.XLOOKUP(C958,customers!$A$1:$A$1001,customers!$B$1:$B$1001,"",0)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6">
        <f>INDEX(products!$A$1:$G$49,MATCH(orders!$D958,products!$A$1:$A$49,0),MATCH(orders!K$1,products!$A$1:$G$1,0))</f>
        <v>2.5</v>
      </c>
      <c r="L958" s="4">
        <f>INDEX(products!$A$1:$G$49,MATCH(orders!$D958,products!$A$1:$A$49,0),MATCH(orders!L$1,products!$A$1:$G$1,0))</f>
        <v>27.484999999999996</v>
      </c>
      <c r="M958" s="4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hidden="1" x14ac:dyDescent="0.3">
      <c r="A959" s="2" t="s">
        <v>5889</v>
      </c>
      <c r="B959" s="7">
        <v>43582</v>
      </c>
      <c r="C959" s="2" t="s">
        <v>5763</v>
      </c>
      <c r="D959" t="s">
        <v>6170</v>
      </c>
      <c r="E959" s="2">
        <v>1</v>
      </c>
      <c r="F959" s="2" t="str">
        <f>_xlfn.XLOOKUP(C959,customers!$A$1:$A$1001,customers!$B$1:$B$1001,"",0)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6">
        <f>INDEX(products!$A$1:$G$49,MATCH(orders!$D959,products!$A$1:$A$49,0),MATCH(orders!K$1,products!$A$1:$G$1,0))</f>
        <v>1</v>
      </c>
      <c r="L959" s="4">
        <f>INDEX(products!$A$1:$G$49,MATCH(orders!$D959,products!$A$1:$A$49,0),MATCH(orders!L$1,products!$A$1:$G$1,0))</f>
        <v>14.85</v>
      </c>
      <c r="M959" s="4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hidden="1" x14ac:dyDescent="0.3">
      <c r="A960" s="2" t="s">
        <v>5889</v>
      </c>
      <c r="B960" s="7">
        <v>43582</v>
      </c>
      <c r="C960" s="2" t="s">
        <v>5763</v>
      </c>
      <c r="D960" t="s">
        <v>6166</v>
      </c>
      <c r="E960" s="2">
        <v>2</v>
      </c>
      <c r="F960" s="2" t="str">
        <f>_xlfn.XLOOKUP(C960,customers!$A$1:$A$1001,customers!$B$1:$B$1001,"",0)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6">
        <f>INDEX(products!$A$1:$G$49,MATCH(orders!$D960,products!$A$1:$A$49,0),MATCH(orders!K$1,products!$A$1:$G$1,0))</f>
        <v>0.2</v>
      </c>
      <c r="L960" s="4">
        <f>INDEX(products!$A$1:$G$49,MATCH(orders!$D960,products!$A$1:$A$49,0),MATCH(orders!L$1,products!$A$1:$G$1,0))</f>
        <v>3.8849999999999998</v>
      </c>
      <c r="M960" s="4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3">
      <c r="A961" s="2" t="s">
        <v>5909</v>
      </c>
      <c r="B961" s="7">
        <v>44598</v>
      </c>
      <c r="C961" s="2" t="s">
        <v>5910</v>
      </c>
      <c r="D961" t="s">
        <v>6144</v>
      </c>
      <c r="E961" s="2">
        <v>5</v>
      </c>
      <c r="F961" s="2" t="str">
        <f>_xlfn.XLOOKUP(C961,customers!$A$1:$A$1001,customers!$B$1:$B$1001,"",0)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6">
        <f>INDEX(products!$A$1:$G$49,MATCH(orders!$D961,products!$A$1:$A$49,0),MATCH(orders!K$1,products!$A$1:$G$1,0))</f>
        <v>0.2</v>
      </c>
      <c r="L961" s="4">
        <f>INDEX(products!$A$1:$G$49,MATCH(orders!$D961,products!$A$1:$A$49,0),MATCH(orders!L$1,products!$A$1:$G$1,0))</f>
        <v>4.7549999999999999</v>
      </c>
      <c r="M961" s="4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3">
      <c r="A962" s="2" t="s">
        <v>5914</v>
      </c>
      <c r="B962" s="7">
        <v>44591</v>
      </c>
      <c r="C962" s="2" t="s">
        <v>5915</v>
      </c>
      <c r="D962" t="s">
        <v>6169</v>
      </c>
      <c r="E962" s="2">
        <v>5</v>
      </c>
      <c r="F962" s="2" t="str">
        <f>_xlfn.XLOOKUP(C962,customers!$A$1:$A$1001,customers!$B$1:$B$1001,"",0)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6">
        <f>INDEX(products!$A$1:$G$49,MATCH(orders!$D962,products!$A$1:$A$49,0),MATCH(orders!K$1,products!$A$1:$G$1,0))</f>
        <v>1</v>
      </c>
      <c r="L962" s="4">
        <f>INDEX(products!$A$1:$G$49,MATCH(orders!$D962,products!$A$1:$A$49,0),MATCH(orders!L$1,products!$A$1:$G$1,0))</f>
        <v>15.85</v>
      </c>
      <c r="M962" s="4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hidden="1" x14ac:dyDescent="0.3">
      <c r="A963" s="2" t="s">
        <v>5920</v>
      </c>
      <c r="B963" s="7">
        <v>44158</v>
      </c>
      <c r="C963" s="2" t="s">
        <v>5921</v>
      </c>
      <c r="D963" t="s">
        <v>6167</v>
      </c>
      <c r="E963" s="2">
        <v>2</v>
      </c>
      <c r="F963" s="2" t="str">
        <f>_xlfn.XLOOKUP(C963,customers!$A$1:$A$1001,customers!$B$1:$B$1001,"",0)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6">
        <f>INDEX(products!$A$1:$G$49,MATCH(orders!$D963,products!$A$1:$A$49,0),MATCH(orders!K$1,products!$A$1:$G$1,0))</f>
        <v>2.5</v>
      </c>
      <c r="L963" s="4">
        <f>INDEX(products!$A$1:$G$49,MATCH(orders!$D963,products!$A$1:$A$49,0),MATCH(orders!L$1,products!$A$1:$G$1,0))</f>
        <v>22.884999999999998</v>
      </c>
      <c r="M963" s="4">
        <f t="shared" ref="M963:M1001" si="45">E963*L963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3">
      <c r="A964" s="2" t="s">
        <v>5925</v>
      </c>
      <c r="B964" s="7">
        <v>44664</v>
      </c>
      <c r="C964" s="2" t="s">
        <v>5926</v>
      </c>
      <c r="D964" t="s">
        <v>6176</v>
      </c>
      <c r="E964" s="2">
        <v>1</v>
      </c>
      <c r="F964" s="2" t="str">
        <f>_xlfn.XLOOKUP(C964,customers!$A$1:$A$1001,customers!$B$1:$B$1001,"",0)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6">
        <f>INDEX(products!$A$1:$G$49,MATCH(orders!$D964,products!$A$1:$A$49,0),MATCH(orders!K$1,products!$A$1:$G$1,0))</f>
        <v>1</v>
      </c>
      <c r="L964" s="4">
        <f>INDEX(products!$A$1:$G$49,MATCH(orders!$D964,products!$A$1:$A$49,0),MATCH(orders!L$1,products!$A$1:$G$1,0))</f>
        <v>8.9499999999999993</v>
      </c>
      <c r="M964" s="4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hidden="1" x14ac:dyDescent="0.3">
      <c r="A965" s="2" t="s">
        <v>5931</v>
      </c>
      <c r="B965" s="7">
        <v>44203</v>
      </c>
      <c r="C965" s="2" t="s">
        <v>5932</v>
      </c>
      <c r="D965" t="s">
        <v>6145</v>
      </c>
      <c r="E965" s="2">
        <v>4</v>
      </c>
      <c r="F965" s="2" t="str">
        <f>_xlfn.XLOOKUP(C965,customers!$A$1:$A$1001,customers!$B$1:$B$1001,"",0)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6">
        <f>INDEX(products!$A$1:$G$49,MATCH(orders!$D965,products!$A$1:$A$49,0),MATCH(orders!K$1,products!$A$1:$G$1,0))</f>
        <v>0.5</v>
      </c>
      <c r="L965" s="4">
        <f>INDEX(products!$A$1:$G$49,MATCH(orders!$D965,products!$A$1:$A$49,0),MATCH(orders!L$1,products!$A$1:$G$1,0))</f>
        <v>5.97</v>
      </c>
      <c r="M965" s="4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hidden="1" x14ac:dyDescent="0.3">
      <c r="A966" s="2" t="s">
        <v>5937</v>
      </c>
      <c r="B966" s="7">
        <v>43865</v>
      </c>
      <c r="C966" s="2" t="s">
        <v>5938</v>
      </c>
      <c r="D966" t="s">
        <v>6183</v>
      </c>
      <c r="E966" s="2">
        <v>5</v>
      </c>
      <c r="F966" s="2" t="str">
        <f>_xlfn.XLOOKUP(C966,customers!$A$1:$A$1001,customers!$B$1:$B$1001,"",0)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6">
        <f>INDEX(products!$A$1:$G$49,MATCH(orders!$D966,products!$A$1:$A$49,0),MATCH(orders!K$1,products!$A$1:$G$1,0))</f>
        <v>0.2</v>
      </c>
      <c r="L966" s="4">
        <f>INDEX(products!$A$1:$G$49,MATCH(orders!$D966,products!$A$1:$A$49,0),MATCH(orders!L$1,products!$A$1:$G$1,0))</f>
        <v>4.4550000000000001</v>
      </c>
      <c r="M966" s="4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hidden="1" x14ac:dyDescent="0.3">
      <c r="A967" s="2" t="s">
        <v>5943</v>
      </c>
      <c r="B967" s="7">
        <v>43724</v>
      </c>
      <c r="C967" s="2" t="s">
        <v>5944</v>
      </c>
      <c r="D967" t="s">
        <v>6137</v>
      </c>
      <c r="E967" s="2">
        <v>3</v>
      </c>
      <c r="F967" s="2" t="str">
        <f>_xlfn.XLOOKUP(C967,customers!$A$1:$A$1001,customers!$B$1:$B$1001,"",0)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6">
        <f>INDEX(products!$A$1:$G$49,MATCH(orders!$D967,products!$A$1:$A$49,0),MATCH(orders!K$1,products!$A$1:$G$1,0))</f>
        <v>1</v>
      </c>
      <c r="L967" s="4">
        <f>INDEX(products!$A$1:$G$49,MATCH(orders!$D967,products!$A$1:$A$49,0),MATCH(orders!L$1,products!$A$1:$G$1,0))</f>
        <v>9.9499999999999993</v>
      </c>
      <c r="M967" s="4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hidden="1" x14ac:dyDescent="0.3">
      <c r="A968" s="2" t="s">
        <v>5948</v>
      </c>
      <c r="B968" s="7">
        <v>43491</v>
      </c>
      <c r="C968" s="2" t="s">
        <v>5949</v>
      </c>
      <c r="D968" t="s">
        <v>6175</v>
      </c>
      <c r="E968" s="2">
        <v>6</v>
      </c>
      <c r="F968" s="2" t="str">
        <f>_xlfn.XLOOKUP(C968,customers!$A$1:$A$1001,customers!$B$1:$B$1001,"",0)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6">
        <f>INDEX(products!$A$1:$G$49,MATCH(orders!$D968,products!$A$1:$A$49,0),MATCH(orders!K$1,products!$A$1:$G$1,0))</f>
        <v>0.5</v>
      </c>
      <c r="L968" s="4">
        <f>INDEX(products!$A$1:$G$49,MATCH(orders!$D968,products!$A$1:$A$49,0),MATCH(orders!L$1,products!$A$1:$G$1,0))</f>
        <v>8.91</v>
      </c>
      <c r="M968" s="4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hidden="1" x14ac:dyDescent="0.3">
      <c r="A969" s="2" t="s">
        <v>5954</v>
      </c>
      <c r="B969" s="7">
        <v>44246</v>
      </c>
      <c r="C969" s="2" t="s">
        <v>5955</v>
      </c>
      <c r="D969" t="s">
        <v>6162</v>
      </c>
      <c r="E969" s="2">
        <v>1</v>
      </c>
      <c r="F969" s="2" t="str">
        <f>_xlfn.XLOOKUP(C969,customers!$A$1:$A$1001,customers!$B$1:$B$1001,"",0)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6">
        <f>INDEX(products!$A$1:$G$49,MATCH(orders!$D969,products!$A$1:$A$49,0),MATCH(orders!K$1,products!$A$1:$G$1,0))</f>
        <v>0.2</v>
      </c>
      <c r="L969" s="4">
        <f>INDEX(products!$A$1:$G$49,MATCH(orders!$D969,products!$A$1:$A$49,0),MATCH(orders!L$1,products!$A$1:$G$1,0))</f>
        <v>2.6849999999999996</v>
      </c>
      <c r="M969" s="4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3">
      <c r="A970" s="2" t="s">
        <v>5960</v>
      </c>
      <c r="B970" s="7">
        <v>44642</v>
      </c>
      <c r="C970" s="2" t="s">
        <v>5961</v>
      </c>
      <c r="D970" t="s">
        <v>6173</v>
      </c>
      <c r="E970" s="2">
        <v>2</v>
      </c>
      <c r="F970" s="2" t="str">
        <f>_xlfn.XLOOKUP(C970,customers!$A$1:$A$1001,customers!$B$1:$B$1001,"",0)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6">
        <f>INDEX(products!$A$1:$G$49,MATCH(orders!$D970,products!$A$1:$A$49,0),MATCH(orders!K$1,products!$A$1:$G$1,0))</f>
        <v>0.2</v>
      </c>
      <c r="L970" s="4">
        <f>INDEX(products!$A$1:$G$49,MATCH(orders!$D970,products!$A$1:$A$49,0),MATCH(orders!L$1,products!$A$1:$G$1,0))</f>
        <v>2.9849999999999999</v>
      </c>
      <c r="M970" s="4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hidden="1" x14ac:dyDescent="0.3">
      <c r="A971" s="2" t="s">
        <v>5966</v>
      </c>
      <c r="B971" s="7">
        <v>43649</v>
      </c>
      <c r="C971" s="2" t="s">
        <v>5967</v>
      </c>
      <c r="D971" t="s">
        <v>6142</v>
      </c>
      <c r="E971" s="2">
        <v>1</v>
      </c>
      <c r="F971" s="2" t="str">
        <f>_xlfn.XLOOKUP(C971,customers!$A$1:$A$1001,customers!$B$1:$B$1001,"",0)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6">
        <f>INDEX(products!$A$1:$G$49,MATCH(orders!$D971,products!$A$1:$A$49,0),MATCH(orders!K$1,products!$A$1:$G$1,0))</f>
        <v>1</v>
      </c>
      <c r="L971" s="4">
        <f>INDEX(products!$A$1:$G$49,MATCH(orders!$D971,products!$A$1:$A$49,0),MATCH(orders!L$1,products!$A$1:$G$1,0))</f>
        <v>12.95</v>
      </c>
      <c r="M971" s="4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hidden="1" x14ac:dyDescent="0.3">
      <c r="A972" s="2" t="s">
        <v>5972</v>
      </c>
      <c r="B972" s="7">
        <v>43729</v>
      </c>
      <c r="C972" s="2" t="s">
        <v>5973</v>
      </c>
      <c r="D972" t="s">
        <v>6138</v>
      </c>
      <c r="E972" s="2">
        <v>1</v>
      </c>
      <c r="F972" s="2" t="str">
        <f>_xlfn.XLOOKUP(C972,customers!$A$1:$A$1001,customers!$B$1:$B$1001,"",0)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6">
        <f>INDEX(products!$A$1:$G$49,MATCH(orders!$D972,products!$A$1:$A$49,0),MATCH(orders!K$1,products!$A$1:$G$1,0))</f>
        <v>0.5</v>
      </c>
      <c r="L972" s="4">
        <f>INDEX(products!$A$1:$G$49,MATCH(orders!$D972,products!$A$1:$A$49,0),MATCH(orders!L$1,products!$A$1:$G$1,0))</f>
        <v>8.25</v>
      </c>
      <c r="M972" s="4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hidden="1" x14ac:dyDescent="0.3">
      <c r="A973" s="2" t="s">
        <v>5977</v>
      </c>
      <c r="B973" s="7">
        <v>43703</v>
      </c>
      <c r="C973" s="2" t="s">
        <v>5978</v>
      </c>
      <c r="D973" t="s">
        <v>6181</v>
      </c>
      <c r="E973" s="2">
        <v>5</v>
      </c>
      <c r="F973" s="2" t="str">
        <f>_xlfn.XLOOKUP(C973,customers!$A$1:$A$1001,customers!$B$1:$B$1001,"",0)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6">
        <f>INDEX(products!$A$1:$G$49,MATCH(orders!$D973,products!$A$1:$A$49,0),MATCH(orders!K$1,products!$A$1:$G$1,0))</f>
        <v>2.5</v>
      </c>
      <c r="L973" s="4">
        <f>INDEX(products!$A$1:$G$49,MATCH(orders!$D973,products!$A$1:$A$49,0),MATCH(orders!L$1,products!$A$1:$G$1,0))</f>
        <v>29.784999999999997</v>
      </c>
      <c r="M973" s="4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hidden="1" x14ac:dyDescent="0.3">
      <c r="A974" s="2" t="s">
        <v>5983</v>
      </c>
      <c r="B974" s="7">
        <v>44411</v>
      </c>
      <c r="C974" s="2" t="s">
        <v>5984</v>
      </c>
      <c r="D974" t="s">
        <v>6181</v>
      </c>
      <c r="E974" s="2">
        <v>3</v>
      </c>
      <c r="F974" s="2" t="str">
        <f>_xlfn.XLOOKUP(C974,customers!$A$1:$A$1001,customers!$B$1:$B$1001,"",0)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6">
        <f>INDEX(products!$A$1:$G$49,MATCH(orders!$D974,products!$A$1:$A$49,0),MATCH(orders!K$1,products!$A$1:$G$1,0))</f>
        <v>2.5</v>
      </c>
      <c r="L974" s="4">
        <f>INDEX(products!$A$1:$G$49,MATCH(orders!$D974,products!$A$1:$A$49,0),MATCH(orders!L$1,products!$A$1:$G$1,0))</f>
        <v>29.784999999999997</v>
      </c>
      <c r="M974" s="4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hidden="1" x14ac:dyDescent="0.3">
      <c r="A975" s="2" t="s">
        <v>5988</v>
      </c>
      <c r="B975" s="7">
        <v>44493</v>
      </c>
      <c r="C975" s="2" t="s">
        <v>5989</v>
      </c>
      <c r="D975" t="s">
        <v>6161</v>
      </c>
      <c r="E975" s="2">
        <v>6</v>
      </c>
      <c r="F975" s="2" t="str">
        <f>_xlfn.XLOOKUP(C975,customers!$A$1:$A$1001,customers!$B$1:$B$1001,"",0)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6">
        <f>INDEX(products!$A$1:$G$49,MATCH(orders!$D975,products!$A$1:$A$49,0),MATCH(orders!K$1,products!$A$1:$G$1,0))</f>
        <v>1</v>
      </c>
      <c r="L975" s="4">
        <f>INDEX(products!$A$1:$G$49,MATCH(orders!$D975,products!$A$1:$A$49,0),MATCH(orders!L$1,products!$A$1:$G$1,0))</f>
        <v>14.55</v>
      </c>
      <c r="M975" s="4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hidden="1" x14ac:dyDescent="0.3">
      <c r="A976" s="2" t="s">
        <v>5994</v>
      </c>
      <c r="B976" s="7">
        <v>43556</v>
      </c>
      <c r="C976" s="2" t="s">
        <v>5995</v>
      </c>
      <c r="D976" t="s">
        <v>6171</v>
      </c>
      <c r="E976" s="2">
        <v>1</v>
      </c>
      <c r="F976" s="2" t="str">
        <f>_xlfn.XLOOKUP(C976,customers!$A$1:$A$1001,customers!$B$1:$B$1001,"",0)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6">
        <f>INDEX(products!$A$1:$G$49,MATCH(orders!$D976,products!$A$1:$A$49,0),MATCH(orders!K$1,products!$A$1:$G$1,0))</f>
        <v>0.5</v>
      </c>
      <c r="L976" s="4">
        <f>INDEX(products!$A$1:$G$49,MATCH(orders!$D976,products!$A$1:$A$49,0),MATCH(orders!L$1,products!$A$1:$G$1,0))</f>
        <v>5.3699999999999992</v>
      </c>
      <c r="M976" s="4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hidden="1" x14ac:dyDescent="0.3">
      <c r="A977" s="2" t="s">
        <v>6000</v>
      </c>
      <c r="B977" s="7">
        <v>44538</v>
      </c>
      <c r="C977" s="2" t="s">
        <v>6001</v>
      </c>
      <c r="D977" t="s">
        <v>6153</v>
      </c>
      <c r="E977" s="2">
        <v>3</v>
      </c>
      <c r="F977" s="2" t="str">
        <f>_xlfn.XLOOKUP(C977,customers!$A$1:$A$1001,customers!$B$1:$B$1001,"",0)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6">
        <f>INDEX(products!$A$1:$G$49,MATCH(orders!$D977,products!$A$1:$A$49,0),MATCH(orders!K$1,products!$A$1:$G$1,0))</f>
        <v>0.2</v>
      </c>
      <c r="L977" s="4">
        <f>INDEX(products!$A$1:$G$49,MATCH(orders!$D977,products!$A$1:$A$49,0),MATCH(orders!L$1,products!$A$1:$G$1,0))</f>
        <v>2.9849999999999999</v>
      </c>
      <c r="M977" s="4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hidden="1" x14ac:dyDescent="0.3">
      <c r="A978" s="2" t="s">
        <v>6006</v>
      </c>
      <c r="B978" s="7">
        <v>43643</v>
      </c>
      <c r="C978" s="2" t="s">
        <v>6007</v>
      </c>
      <c r="D978" t="s">
        <v>6141</v>
      </c>
      <c r="E978" s="2">
        <v>5</v>
      </c>
      <c r="F978" s="2" t="str">
        <f>_xlfn.XLOOKUP(C978,customers!$A$1:$A$1001,customers!$B$1:$B$1001,"",0)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6">
        <f>INDEX(products!$A$1:$G$49,MATCH(orders!$D978,products!$A$1:$A$49,0),MATCH(orders!K$1,products!$A$1:$G$1,0))</f>
        <v>2.5</v>
      </c>
      <c r="L978" s="4">
        <f>INDEX(products!$A$1:$G$49,MATCH(orders!$D978,products!$A$1:$A$49,0),MATCH(orders!L$1,products!$A$1:$G$1,0))</f>
        <v>27.484999999999996</v>
      </c>
      <c r="M978" s="4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hidden="1" x14ac:dyDescent="0.3">
      <c r="A979" s="2" t="s">
        <v>6012</v>
      </c>
      <c r="B979" s="7">
        <v>44026</v>
      </c>
      <c r="C979" s="2" t="s">
        <v>6013</v>
      </c>
      <c r="D979" t="s">
        <v>6178</v>
      </c>
      <c r="E979" s="2">
        <v>5</v>
      </c>
      <c r="F979" s="2" t="str">
        <f>_xlfn.XLOOKUP(C979,customers!$A$1:$A$1001,customers!$B$1:$B$1001,"",0)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6">
        <f>INDEX(products!$A$1:$G$49,MATCH(orders!$D979,products!$A$1:$A$49,0),MATCH(orders!K$1,products!$A$1:$G$1,0))</f>
        <v>1</v>
      </c>
      <c r="L979" s="4">
        <f>INDEX(products!$A$1:$G$49,MATCH(orders!$D979,products!$A$1:$A$49,0),MATCH(orders!L$1,products!$A$1:$G$1,0))</f>
        <v>11.95</v>
      </c>
      <c r="M979" s="4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hidden="1" x14ac:dyDescent="0.3">
      <c r="A980" s="2" t="s">
        <v>6018</v>
      </c>
      <c r="B980" s="7">
        <v>43913</v>
      </c>
      <c r="C980" s="2" t="s">
        <v>5989</v>
      </c>
      <c r="D980" t="s">
        <v>6179</v>
      </c>
      <c r="E980" s="2">
        <v>3</v>
      </c>
      <c r="F980" s="2" t="str">
        <f>_xlfn.XLOOKUP(C980,customers!$A$1:$A$1001,customers!$B$1:$B$1001,"",0)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6">
        <f>INDEX(products!$A$1:$G$49,MATCH(orders!$D980,products!$A$1:$A$49,0),MATCH(orders!K$1,products!$A$1:$G$1,0))</f>
        <v>0.5</v>
      </c>
      <c r="L980" s="4">
        <f>INDEX(products!$A$1:$G$49,MATCH(orders!$D980,products!$A$1:$A$49,0),MATCH(orders!L$1,products!$A$1:$G$1,0))</f>
        <v>7.77</v>
      </c>
      <c r="M980" s="4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hidden="1" x14ac:dyDescent="0.3">
      <c r="A981" s="2" t="s">
        <v>6024</v>
      </c>
      <c r="B981" s="7">
        <v>43856</v>
      </c>
      <c r="C981" s="2" t="s">
        <v>6025</v>
      </c>
      <c r="D981" t="s">
        <v>6171</v>
      </c>
      <c r="E981" s="2">
        <v>2</v>
      </c>
      <c r="F981" s="2" t="str">
        <f>_xlfn.XLOOKUP(C981,customers!$A$1:$A$1001,customers!$B$1:$B$1001,"",0)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6">
        <f>INDEX(products!$A$1:$G$49,MATCH(orders!$D981,products!$A$1:$A$49,0),MATCH(orders!K$1,products!$A$1:$G$1,0))</f>
        <v>0.5</v>
      </c>
      <c r="L981" s="4">
        <f>INDEX(products!$A$1:$G$49,MATCH(orders!$D981,products!$A$1:$A$49,0),MATCH(orders!L$1,products!$A$1:$G$1,0))</f>
        <v>5.3699999999999992</v>
      </c>
      <c r="M981" s="4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hidden="1" x14ac:dyDescent="0.3">
      <c r="A982" s="2" t="s">
        <v>6029</v>
      </c>
      <c r="B982" s="7">
        <v>43982</v>
      </c>
      <c r="C982" s="2" t="s">
        <v>6030</v>
      </c>
      <c r="D982" t="s">
        <v>6184</v>
      </c>
      <c r="E982" s="2">
        <v>6</v>
      </c>
      <c r="F982" s="2" t="str">
        <f>_xlfn.XLOOKUP(C982,customers!$A$1:$A$1001,customers!$B$1:$B$1001,"",0)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6">
        <f>INDEX(products!$A$1:$G$49,MATCH(orders!$D982,products!$A$1:$A$49,0),MATCH(orders!K$1,products!$A$1:$G$1,0))</f>
        <v>2.5</v>
      </c>
      <c r="L982" s="4">
        <f>INDEX(products!$A$1:$G$49,MATCH(orders!$D982,products!$A$1:$A$49,0),MATCH(orders!L$1,products!$A$1:$G$1,0))</f>
        <v>27.945</v>
      </c>
      <c r="M982" s="4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hidden="1" x14ac:dyDescent="0.3">
      <c r="A983" s="2" t="s">
        <v>6034</v>
      </c>
      <c r="B983" s="7">
        <v>44397</v>
      </c>
      <c r="C983" s="2" t="s">
        <v>6035</v>
      </c>
      <c r="D983" t="s">
        <v>6152</v>
      </c>
      <c r="E983" s="2">
        <v>6</v>
      </c>
      <c r="F983" s="2" t="str">
        <f>_xlfn.XLOOKUP(C983,customers!$A$1:$A$1001,customers!$B$1:$B$1001,"",0)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6">
        <f>INDEX(products!$A$1:$G$49,MATCH(orders!$D983,products!$A$1:$A$49,0),MATCH(orders!K$1,products!$A$1:$G$1,0))</f>
        <v>0.2</v>
      </c>
      <c r="L983" s="4">
        <f>INDEX(products!$A$1:$G$49,MATCH(orders!$D983,products!$A$1:$A$49,0),MATCH(orders!L$1,products!$A$1:$G$1,0))</f>
        <v>3.645</v>
      </c>
      <c r="M983" s="4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3">
      <c r="A984" s="2" t="s">
        <v>6040</v>
      </c>
      <c r="B984" s="7">
        <v>44785</v>
      </c>
      <c r="C984" s="2" t="s">
        <v>6041</v>
      </c>
      <c r="D984" t="s">
        <v>6178</v>
      </c>
      <c r="E984" s="2">
        <v>2</v>
      </c>
      <c r="F984" s="2" t="str">
        <f>_xlfn.XLOOKUP(C984,customers!$A$1:$A$1001,customers!$B$1:$B$1001,"",0)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6">
        <f>INDEX(products!$A$1:$G$49,MATCH(orders!$D984,products!$A$1:$A$49,0),MATCH(orders!K$1,products!$A$1:$G$1,0))</f>
        <v>1</v>
      </c>
      <c r="L984" s="4">
        <f>INDEX(products!$A$1:$G$49,MATCH(orders!$D984,products!$A$1:$A$49,0),MATCH(orders!L$1,products!$A$1:$G$1,0))</f>
        <v>11.95</v>
      </c>
      <c r="M984" s="4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hidden="1" x14ac:dyDescent="0.3">
      <c r="A985" s="2" t="s">
        <v>6046</v>
      </c>
      <c r="B985" s="7">
        <v>43831</v>
      </c>
      <c r="C985" s="2" t="s">
        <v>6047</v>
      </c>
      <c r="D985" t="s">
        <v>6151</v>
      </c>
      <c r="E985" s="2">
        <v>2</v>
      </c>
      <c r="F985" s="2" t="str">
        <f>_xlfn.XLOOKUP(C985,customers!$A$1:$A$1001,customers!$B$1:$B$1001,"",0)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6">
        <f>INDEX(products!$A$1:$G$49,MATCH(orders!$D985,products!$A$1:$A$49,0),MATCH(orders!K$1,products!$A$1:$G$1,0))</f>
        <v>0.2</v>
      </c>
      <c r="L985" s="4">
        <f>INDEX(products!$A$1:$G$49,MATCH(orders!$D985,products!$A$1:$A$49,0),MATCH(orders!L$1,products!$A$1:$G$1,0))</f>
        <v>3.375</v>
      </c>
      <c r="M985" s="4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hidden="1" x14ac:dyDescent="0.3">
      <c r="A986" s="2" t="s">
        <v>6052</v>
      </c>
      <c r="B986" s="7">
        <v>44214</v>
      </c>
      <c r="C986" s="2" t="s">
        <v>6053</v>
      </c>
      <c r="D986" t="s">
        <v>6165</v>
      </c>
      <c r="E986" s="2">
        <v>1</v>
      </c>
      <c r="F986" s="2" t="str">
        <f>_xlfn.XLOOKUP(C986,customers!$A$1:$A$1001,customers!$B$1:$B$1001,"",0)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6">
        <f>INDEX(products!$A$1:$G$49,MATCH(orders!$D986,products!$A$1:$A$49,0),MATCH(orders!K$1,products!$A$1:$G$1,0))</f>
        <v>2.5</v>
      </c>
      <c r="L986" s="4">
        <f>INDEX(products!$A$1:$G$49,MATCH(orders!$D986,products!$A$1:$A$49,0),MATCH(orders!L$1,products!$A$1:$G$1,0))</f>
        <v>31.624999999999996</v>
      </c>
      <c r="M986" s="4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hidden="1" x14ac:dyDescent="0.3">
      <c r="A987" s="2" t="s">
        <v>6057</v>
      </c>
      <c r="B987" s="7">
        <v>44561</v>
      </c>
      <c r="C987" s="2" t="s">
        <v>6058</v>
      </c>
      <c r="D987" t="s">
        <v>6178</v>
      </c>
      <c r="E987" s="2">
        <v>4</v>
      </c>
      <c r="F987" s="2" t="str">
        <f>_xlfn.XLOOKUP(C987,customers!$A$1:$A$1001,customers!$B$1:$B$1001,"",0)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6">
        <f>INDEX(products!$A$1:$G$49,MATCH(orders!$D987,products!$A$1:$A$49,0),MATCH(orders!K$1,products!$A$1:$G$1,0))</f>
        <v>1</v>
      </c>
      <c r="L987" s="4">
        <f>INDEX(products!$A$1:$G$49,MATCH(orders!$D987,products!$A$1:$A$49,0),MATCH(orders!L$1,products!$A$1:$G$1,0))</f>
        <v>11.95</v>
      </c>
      <c r="M987" s="4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hidden="1" x14ac:dyDescent="0.3">
      <c r="A988" s="2" t="s">
        <v>6063</v>
      </c>
      <c r="B988" s="7">
        <v>43955</v>
      </c>
      <c r="C988" s="2" t="s">
        <v>6064</v>
      </c>
      <c r="D988" t="s">
        <v>6180</v>
      </c>
      <c r="E988" s="2">
        <v>1</v>
      </c>
      <c r="F988" s="2" t="str">
        <f>_xlfn.XLOOKUP(C988,customers!$A$1:$A$1001,customers!$B$1:$B$1001,"",0)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6">
        <f>INDEX(products!$A$1:$G$49,MATCH(orders!$D988,products!$A$1:$A$49,0),MATCH(orders!K$1,products!$A$1:$G$1,0))</f>
        <v>2.5</v>
      </c>
      <c r="L988" s="4">
        <f>INDEX(products!$A$1:$G$49,MATCH(orders!$D988,products!$A$1:$A$49,0),MATCH(orders!L$1,products!$A$1:$G$1,0))</f>
        <v>33.464999999999996</v>
      </c>
      <c r="M988" s="4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hidden="1" x14ac:dyDescent="0.3">
      <c r="A989" s="2" t="s">
        <v>6069</v>
      </c>
      <c r="B989" s="7">
        <v>44247</v>
      </c>
      <c r="C989" s="2" t="s">
        <v>6070</v>
      </c>
      <c r="D989" t="s">
        <v>6157</v>
      </c>
      <c r="E989" s="2">
        <v>5</v>
      </c>
      <c r="F989" s="2" t="str">
        <f>_xlfn.XLOOKUP(C989,customers!$A$1:$A$1001,customers!$B$1:$B$1001,"",0)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6">
        <f>INDEX(products!$A$1:$G$49,MATCH(orders!$D989,products!$A$1:$A$49,0),MATCH(orders!K$1,products!$A$1:$G$1,0))</f>
        <v>0.5</v>
      </c>
      <c r="L989" s="4">
        <f>INDEX(products!$A$1:$G$49,MATCH(orders!$D989,products!$A$1:$A$49,0),MATCH(orders!L$1,products!$A$1:$G$1,0))</f>
        <v>5.97</v>
      </c>
      <c r="M989" s="4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hidden="1" x14ac:dyDescent="0.3">
      <c r="A990" s="2" t="s">
        <v>6075</v>
      </c>
      <c r="B990" s="7">
        <v>43897</v>
      </c>
      <c r="C990" s="2" t="s">
        <v>6076</v>
      </c>
      <c r="D990" t="s">
        <v>6137</v>
      </c>
      <c r="E990" s="2">
        <v>3</v>
      </c>
      <c r="F990" s="2" t="str">
        <f>_xlfn.XLOOKUP(C990,customers!$A$1:$A$1001,customers!$B$1:$B$1001,"",0)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6">
        <f>INDEX(products!$A$1:$G$49,MATCH(orders!$D990,products!$A$1:$A$49,0),MATCH(orders!K$1,products!$A$1:$G$1,0))</f>
        <v>1</v>
      </c>
      <c r="L990" s="4">
        <f>INDEX(products!$A$1:$G$49,MATCH(orders!$D990,products!$A$1:$A$49,0),MATCH(orders!L$1,products!$A$1:$G$1,0))</f>
        <v>9.9499999999999993</v>
      </c>
      <c r="M990" s="4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hidden="1" x14ac:dyDescent="0.3">
      <c r="A991" s="2" t="s">
        <v>6080</v>
      </c>
      <c r="B991" s="7">
        <v>43560</v>
      </c>
      <c r="C991" s="2" t="s">
        <v>6081</v>
      </c>
      <c r="D991" t="s">
        <v>6174</v>
      </c>
      <c r="E991" s="2">
        <v>6</v>
      </c>
      <c r="F991" s="2" t="str">
        <f>_xlfn.XLOOKUP(C991,customers!$A$1:$A$1001,customers!$B$1:$B$1001,"",0)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6">
        <f>INDEX(products!$A$1:$G$49,MATCH(orders!$D991,products!$A$1:$A$49,0),MATCH(orders!K$1,products!$A$1:$G$1,0))</f>
        <v>2.5</v>
      </c>
      <c r="L991" s="4">
        <f>INDEX(products!$A$1:$G$49,MATCH(orders!$D991,products!$A$1:$A$49,0),MATCH(orders!L$1,products!$A$1:$G$1,0))</f>
        <v>25.874999999999996</v>
      </c>
      <c r="M991" s="4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3">
      <c r="A992" s="2" t="s">
        <v>6085</v>
      </c>
      <c r="B992" s="7">
        <v>44718</v>
      </c>
      <c r="C992" s="2" t="s">
        <v>6117</v>
      </c>
      <c r="D992" t="s">
        <v>6152</v>
      </c>
      <c r="E992" s="2">
        <v>5</v>
      </c>
      <c r="F992" s="2" t="str">
        <f>_xlfn.XLOOKUP(C992,customers!$A$1:$A$1001,customers!$B$1:$B$1001,"",0)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6">
        <f>INDEX(products!$A$1:$G$49,MATCH(orders!$D992,products!$A$1:$A$49,0),MATCH(orders!K$1,products!$A$1:$G$1,0))</f>
        <v>0.2</v>
      </c>
      <c r="L992" s="4">
        <f>INDEX(products!$A$1:$G$49,MATCH(orders!$D992,products!$A$1:$A$49,0),MATCH(orders!L$1,products!$A$1:$G$1,0))</f>
        <v>3.645</v>
      </c>
      <c r="M992" s="4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3">
      <c r="A993" s="2" t="s">
        <v>6085</v>
      </c>
      <c r="B993" s="7">
        <v>44718</v>
      </c>
      <c r="C993" s="2" t="s">
        <v>6117</v>
      </c>
      <c r="D993" t="s">
        <v>6168</v>
      </c>
      <c r="E993" s="2">
        <v>2</v>
      </c>
      <c r="F993" s="2" t="str">
        <f>_xlfn.XLOOKUP(C993,customers!$A$1:$A$1001,customers!$B$1:$B$1001,"",0)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6">
        <f>INDEX(products!$A$1:$G$49,MATCH(orders!$D993,products!$A$1:$A$49,0),MATCH(orders!K$1,products!$A$1:$G$1,0))</f>
        <v>0.5</v>
      </c>
      <c r="L993" s="4">
        <f>INDEX(products!$A$1:$G$49,MATCH(orders!$D993,products!$A$1:$A$49,0),MATCH(orders!L$1,products!$A$1:$G$1,0))</f>
        <v>7.77</v>
      </c>
      <c r="M993" s="4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hidden="1" x14ac:dyDescent="0.3">
      <c r="A994" s="2" t="s">
        <v>6095</v>
      </c>
      <c r="B994" s="7">
        <v>44276</v>
      </c>
      <c r="C994" s="2" t="s">
        <v>6096</v>
      </c>
      <c r="D994" t="s">
        <v>6163</v>
      </c>
      <c r="E994" s="2">
        <v>3</v>
      </c>
      <c r="F994" s="2" t="str">
        <f>_xlfn.XLOOKUP(C994,customers!$A$1:$A$1001,customers!$B$1:$B$1001,"",0)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6">
        <f>INDEX(products!$A$1:$G$49,MATCH(orders!$D994,products!$A$1:$A$49,0),MATCH(orders!K$1,products!$A$1:$G$1,0))</f>
        <v>2.5</v>
      </c>
      <c r="L994" s="4">
        <f>INDEX(products!$A$1:$G$49,MATCH(orders!$D994,products!$A$1:$A$49,0),MATCH(orders!L$1,products!$A$1:$G$1,0))</f>
        <v>36.454999999999998</v>
      </c>
      <c r="M994" s="4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hidden="1" x14ac:dyDescent="0.3">
      <c r="A995" s="2" t="s">
        <v>6100</v>
      </c>
      <c r="B995" s="7">
        <v>44549</v>
      </c>
      <c r="C995" s="2" t="s">
        <v>6101</v>
      </c>
      <c r="D995" t="s">
        <v>6139</v>
      </c>
      <c r="E995" s="2">
        <v>6</v>
      </c>
      <c r="F995" s="2" t="str">
        <f>_xlfn.XLOOKUP(C995,customers!$A$1:$A$1001,customers!$B$1:$B$1001,"",0)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6">
        <f>INDEX(products!$A$1:$G$49,MATCH(orders!$D995,products!$A$1:$A$49,0),MATCH(orders!K$1,products!$A$1:$G$1,0))</f>
        <v>1</v>
      </c>
      <c r="L995" s="4">
        <f>INDEX(products!$A$1:$G$49,MATCH(orders!$D995,products!$A$1:$A$49,0),MATCH(orders!L$1,products!$A$1:$G$1,0))</f>
        <v>12.95</v>
      </c>
      <c r="M995" s="4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hidden="1" x14ac:dyDescent="0.3">
      <c r="A996" s="2" t="s">
        <v>6105</v>
      </c>
      <c r="B996" s="7">
        <v>44244</v>
      </c>
      <c r="C996" s="2" t="s">
        <v>6106</v>
      </c>
      <c r="D996" t="s">
        <v>6153</v>
      </c>
      <c r="E996" s="2">
        <v>3</v>
      </c>
      <c r="F996" s="2" t="str">
        <f>_xlfn.XLOOKUP(C996,customers!$A$1:$A$1001,customers!$B$1:$B$1001,"",0)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6">
        <f>INDEX(products!$A$1:$G$49,MATCH(orders!$D996,products!$A$1:$A$49,0),MATCH(orders!K$1,products!$A$1:$G$1,0))</f>
        <v>0.2</v>
      </c>
      <c r="L996" s="4">
        <f>INDEX(products!$A$1:$G$49,MATCH(orders!$D996,products!$A$1:$A$49,0),MATCH(orders!L$1,products!$A$1:$G$1,0))</f>
        <v>2.9849999999999999</v>
      </c>
      <c r="M996" s="4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hidden="1" x14ac:dyDescent="0.3">
      <c r="A997" s="2" t="s">
        <v>6110</v>
      </c>
      <c r="B997" s="7">
        <v>43836</v>
      </c>
      <c r="C997" s="2" t="s">
        <v>6111</v>
      </c>
      <c r="D997" t="s">
        <v>6141</v>
      </c>
      <c r="E997" s="2">
        <v>1</v>
      </c>
      <c r="F997" s="2" t="str">
        <f>_xlfn.XLOOKUP(C997,customers!$A$1:$A$1001,customers!$B$1:$B$1001,"",0)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6">
        <f>INDEX(products!$A$1:$G$49,MATCH(orders!$D997,products!$A$1:$A$49,0),MATCH(orders!K$1,products!$A$1:$G$1,0))</f>
        <v>2.5</v>
      </c>
      <c r="L997" s="4">
        <f>INDEX(products!$A$1:$G$49,MATCH(orders!$D997,products!$A$1:$A$49,0),MATCH(orders!L$1,products!$A$1:$G$1,0))</f>
        <v>27.484999999999996</v>
      </c>
      <c r="M997" s="4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3">
      <c r="A998" s="2" t="s">
        <v>6116</v>
      </c>
      <c r="B998" s="7">
        <v>44685</v>
      </c>
      <c r="C998" s="2" t="s">
        <v>6117</v>
      </c>
      <c r="D998" t="s">
        <v>6145</v>
      </c>
      <c r="E998" s="2">
        <v>5</v>
      </c>
      <c r="F998" s="2" t="str">
        <f>_xlfn.XLOOKUP(C998,customers!$A$1:$A$1001,customers!$B$1:$B$1001,"",0)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6">
        <f>INDEX(products!$A$1:$G$49,MATCH(orders!$D998,products!$A$1:$A$49,0),MATCH(orders!K$1,products!$A$1:$G$1,0))</f>
        <v>0.5</v>
      </c>
      <c r="L998" s="4">
        <f>INDEX(products!$A$1:$G$49,MATCH(orders!$D998,products!$A$1:$A$49,0),MATCH(orders!L$1,products!$A$1:$G$1,0))</f>
        <v>5.97</v>
      </c>
      <c r="M998" s="4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hidden="1" x14ac:dyDescent="0.3">
      <c r="A999" s="2" t="s">
        <v>6121</v>
      </c>
      <c r="B999" s="7">
        <v>43749</v>
      </c>
      <c r="C999" s="2" t="s">
        <v>6117</v>
      </c>
      <c r="D999" t="s">
        <v>6156</v>
      </c>
      <c r="E999" s="2">
        <v>4</v>
      </c>
      <c r="F999" s="2" t="str">
        <f>_xlfn.XLOOKUP(C999,customers!$A$1:$A$1001,customers!$B$1:$B$1001,"",0)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6">
        <f>INDEX(products!$A$1:$G$49,MATCH(orders!$D999,products!$A$1:$A$49,0),MATCH(orders!K$1,products!$A$1:$G$1,0))</f>
        <v>0.5</v>
      </c>
      <c r="L999" s="4">
        <f>INDEX(products!$A$1:$G$49,MATCH(orders!$D999,products!$A$1:$A$49,0),MATCH(orders!L$1,products!$A$1:$G$1,0))</f>
        <v>6.75</v>
      </c>
      <c r="M999" s="4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hidden="1" x14ac:dyDescent="0.3">
      <c r="A1000" s="2" t="s">
        <v>6126</v>
      </c>
      <c r="B1000" s="7">
        <v>44411</v>
      </c>
      <c r="C1000" s="2" t="s">
        <v>6127</v>
      </c>
      <c r="D1000" t="s">
        <v>6146</v>
      </c>
      <c r="E1000" s="2">
        <v>1</v>
      </c>
      <c r="F1000" s="2" t="str">
        <f>_xlfn.XLOOKUP(C1000,customers!$A$1:$A$1001,customers!$B$1:$B$1001,"",0)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6">
        <f>INDEX(products!$A$1:$G$49,MATCH(orders!$D1000,products!$A$1:$A$49,0),MATCH(orders!K$1,products!$A$1:$G$1,0))</f>
        <v>1</v>
      </c>
      <c r="L1000" s="4">
        <f>INDEX(products!$A$1:$G$49,MATCH(orders!$D1000,products!$A$1:$A$49,0),MATCH(orders!L$1,products!$A$1:$G$1,0))</f>
        <v>9.9499999999999993</v>
      </c>
      <c r="M1000" s="4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hidden="1" x14ac:dyDescent="0.3">
      <c r="A1001" s="2" t="s">
        <v>6132</v>
      </c>
      <c r="B1001" s="7">
        <v>44119</v>
      </c>
      <c r="C1001" s="2" t="s">
        <v>6133</v>
      </c>
      <c r="D1001" t="s">
        <v>6155</v>
      </c>
      <c r="E1001" s="2">
        <v>3</v>
      </c>
      <c r="F1001" s="2" t="str">
        <f>_xlfn.XLOOKUP(C1001,customers!$A$1:$A$1001,customers!$B$1:$B$1001,"",0)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6">
        <f>INDEX(products!$A$1:$G$49,MATCH(orders!$D1001,products!$A$1:$A$49,0),MATCH(orders!K$1,products!$A$1:$G$1,0))</f>
        <v>0.2</v>
      </c>
      <c r="L1001" s="4">
        <f>INDEX(products!$A$1:$G$49,MATCH(orders!$D1001,products!$A$1:$A$49,0),MATCH(orders!L$1,products!$A$1:$G$1,0))</f>
        <v>4.125</v>
      </c>
      <c r="M1001" s="4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I1" sqref="I1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6189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6190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6189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6189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6190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6190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6189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6189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6190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6190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6190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6189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6190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6190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6189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6190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6190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6190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6189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6189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6189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6190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6189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6189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6190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6189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6189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6190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6190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6189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6190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6190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6189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6190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6189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6190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6190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6190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6190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6189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6190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6189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6189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6190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6189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6190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6189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6189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6190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6190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6190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6189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6190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6190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6190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6190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6189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6190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6189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6189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6190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6189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6189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6190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6189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6189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6189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6190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6190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6189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6190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6190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6190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6189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6189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6189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6189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6190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6189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6190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6189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6189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6189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6189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6190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6190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6189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6190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6190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6190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6189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6190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6189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6189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6189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6190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6190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6190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6190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6189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6189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6189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6189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6190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6190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6189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6190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6189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6190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6189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6189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6190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6190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6190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6190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6190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6189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6190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6189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6190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6189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6190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6189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6190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6189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6189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6190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6190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6190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6189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6189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6189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6189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6190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6189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6190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6190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6190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6190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6189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6189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6189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6189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6190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6189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6190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6190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6189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6189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6189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6189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6189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6189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6190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6190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6189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6189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6190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6189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6190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6190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6190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6189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6190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6190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6189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6189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6189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6190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6190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6190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6189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6190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6190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6189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6189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6189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6189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6190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6190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6190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6190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6190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6190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6190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6189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6190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6189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6189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6189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6189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6189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6189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6190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6190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6190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6190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6189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6190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6190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6190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6190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6189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6190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6190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6189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6190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6189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6189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6190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6189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6190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6189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6190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6190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6190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6189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6190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6189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6190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6190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6189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6190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6189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6189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6190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6190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6189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6190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6190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6190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6189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6190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6190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6190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6190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6190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6189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6189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6190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6189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6190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6189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6189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6190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6189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6190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6189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6189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6190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6189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6189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6190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6190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6190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6190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6189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6189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6190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6190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6189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6189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6190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6190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6189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6189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6190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6189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6189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6190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6189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6189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6189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6190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6190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6190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6189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6190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6189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6189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6189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6189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6190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6189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6190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6190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6189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6190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6189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6189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6190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6190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6190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6190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6190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6190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6189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6189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6189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6189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6189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6189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6190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6189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6189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6190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6190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6189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6190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6189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6190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6189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6189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6189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6190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6189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6190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6190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6189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6189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6189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6189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6190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6189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6190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6189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6190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6189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6189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6189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6190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6189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6189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6189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6190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6189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6190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6190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6190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6189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6189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6190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6190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6190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6189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6190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6189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6190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6190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6190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6190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6190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6190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6189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6190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6189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6189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6190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6190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6190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6190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6189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6189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6190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6189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6190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6190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6189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6190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6189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6189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6189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6190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6189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6189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6189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6189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6190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6189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6189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6190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6189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6190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6189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6190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6189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6189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6189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6189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6189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6189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6190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6190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6189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6190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6189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6190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6189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6189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6190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6190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6189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6189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6190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6190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6189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6189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6190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6189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6189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6190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6189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6189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6189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6189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6190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6189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6189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6189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6189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6190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6189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6190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6190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6189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6190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6189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6189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6190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6190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6189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6189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6190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6189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6190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6190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6189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6190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6190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6190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6189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6189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6190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6189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6190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6189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6189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6190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6190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6190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6190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6189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6190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6190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6189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6189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6190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6190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6190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6190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6189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6189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6189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6190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6190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6189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6189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6190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6189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6189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6189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6189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6190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6190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6189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6190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6189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6190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6189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6189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6190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6190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6189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6189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6190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6189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6189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6190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6189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6190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6190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6190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6189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6190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6190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6189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6190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6190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6189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6189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6190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6190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6190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6190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6189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6190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6189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6189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6190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6189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6189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6189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6190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6190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6189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6190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6189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6190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6190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6190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6190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6190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6190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6190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6190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6189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6189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6190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6190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6190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6190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6190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6189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6190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6189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6190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6190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6189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6189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6190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6189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6189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6190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6190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6190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6190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6190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6189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6189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6189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6189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6190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6189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6190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6189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6190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6189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6190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6189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6189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6189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6189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6190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6190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6190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6190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6189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6190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6189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6190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6190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6190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6189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6190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6189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6190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6190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6190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6190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6190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6189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6189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6190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6189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6190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6189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6190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6189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6189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6190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6189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6189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6190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6189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6190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6190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6190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6189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6189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6189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6190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6189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6189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6190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6190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6189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6190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6189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6190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6189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6190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6190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6190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6190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6190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6189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6190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6190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6189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6189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6190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6190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6190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6190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6189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6190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6190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6189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6189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6190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6190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6189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6190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6190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6190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6189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6189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6189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6189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6189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6190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6189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6189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6189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6190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6189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6189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6189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6190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6190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6189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6190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6190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6190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6190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6189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6190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6189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6189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6189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6190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6189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6190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6190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6190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6189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6190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6190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6189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6190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6189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6190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6189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6189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6189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6189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6190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6190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6189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6190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6190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6189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6189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6190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6190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6189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6189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6190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6190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6190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6190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6189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6190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6189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6190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6189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6190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6190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6190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6189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6190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6189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6189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6189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6189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6190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6190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6190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6189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6189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6190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6190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6190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6190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6189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6190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6190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6190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/>
      <c r="E720" s="2" t="s">
        <v>4549</v>
      </c>
      <c r="F720" s="2" t="s">
        <v>467</v>
      </c>
      <c r="G720" s="2" t="s">
        <v>19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27</v>
      </c>
      <c r="G721" s="2" t="s">
        <v>19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174</v>
      </c>
      <c r="G722" s="2" t="s">
        <v>19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209</v>
      </c>
      <c r="G723" s="2" t="s">
        <v>19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146</v>
      </c>
      <c r="G724" s="2" t="s">
        <v>19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30</v>
      </c>
      <c r="G725" s="2" t="s">
        <v>19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57</v>
      </c>
      <c r="G726" s="2" t="s">
        <v>19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78</v>
      </c>
      <c r="G727" s="2" t="s">
        <v>19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277</v>
      </c>
      <c r="G728" s="2" t="s">
        <v>19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331</v>
      </c>
      <c r="G729" s="2" t="s">
        <v>318</v>
      </c>
      <c r="H729" s="2" t="s">
        <v>332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122</v>
      </c>
      <c r="G730" s="2" t="s">
        <v>19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81</v>
      </c>
      <c r="G731" s="2" t="s">
        <v>28</v>
      </c>
      <c r="H731" s="2" t="s">
        <v>258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107</v>
      </c>
      <c r="G732" s="2" t="s">
        <v>19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168</v>
      </c>
      <c r="G733" s="2" t="s">
        <v>19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122</v>
      </c>
      <c r="G734" s="2" t="s">
        <v>19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142</v>
      </c>
      <c r="G735" s="2" t="s">
        <v>19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206</v>
      </c>
      <c r="G736" s="2" t="s">
        <v>19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67</v>
      </c>
      <c r="G737" s="2" t="s">
        <v>19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1282</v>
      </c>
      <c r="G738" s="2" t="s">
        <v>318</v>
      </c>
      <c r="H738" s="2" t="s">
        <v>444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51</v>
      </c>
      <c r="G739" s="2" t="s">
        <v>19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264</v>
      </c>
      <c r="G740" s="2" t="s">
        <v>28</v>
      </c>
      <c r="H740" s="2" t="s">
        <v>265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189</v>
      </c>
      <c r="G741" s="2" t="s">
        <v>19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382</v>
      </c>
      <c r="G742" s="2" t="s">
        <v>318</v>
      </c>
      <c r="H742" s="2" t="s">
        <v>383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256</v>
      </c>
      <c r="G743" s="2" t="s">
        <v>19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23</v>
      </c>
      <c r="G744" s="2" t="s">
        <v>19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80</v>
      </c>
      <c r="G745" s="2" t="s">
        <v>19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41</v>
      </c>
      <c r="G746" s="2" t="s">
        <v>19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483</v>
      </c>
      <c r="G747" s="2" t="s">
        <v>318</v>
      </c>
      <c r="H747" s="2" t="s">
        <v>484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459</v>
      </c>
      <c r="G748" s="2" t="s">
        <v>318</v>
      </c>
      <c r="H748" s="2" t="s">
        <v>460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430</v>
      </c>
      <c r="G749" s="2" t="s">
        <v>318</v>
      </c>
      <c r="H749" s="2" t="s">
        <v>431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38</v>
      </c>
      <c r="G750" s="2" t="s">
        <v>19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318</v>
      </c>
      <c r="H751" s="2" t="s">
        <v>410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106</v>
      </c>
      <c r="G752" s="2" t="s">
        <v>19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139</v>
      </c>
      <c r="G753" s="2" t="s">
        <v>19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106</v>
      </c>
      <c r="G754" s="2" t="s">
        <v>19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184</v>
      </c>
      <c r="G755" s="2" t="s">
        <v>19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47</v>
      </c>
      <c r="G756" s="2" t="s">
        <v>19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52</v>
      </c>
      <c r="G757" s="2" t="s">
        <v>19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171</v>
      </c>
      <c r="G758" s="2" t="s">
        <v>19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252</v>
      </c>
      <c r="G759" s="2" t="s">
        <v>19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104</v>
      </c>
      <c r="G760" s="2" t="s">
        <v>19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155</v>
      </c>
      <c r="G761" s="2" t="s">
        <v>19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82</v>
      </c>
      <c r="G762" s="2" t="s">
        <v>19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99</v>
      </c>
      <c r="G763" s="2" t="s">
        <v>19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159</v>
      </c>
      <c r="G764" s="2" t="s">
        <v>28</v>
      </c>
      <c r="H764" s="2" t="s">
        <v>160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106</v>
      </c>
      <c r="G765" s="2" t="s">
        <v>19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97</v>
      </c>
      <c r="G766" s="2" t="s">
        <v>19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115</v>
      </c>
      <c r="G767" s="2" t="s">
        <v>19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39</v>
      </c>
      <c r="G768" s="2" t="s">
        <v>19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123</v>
      </c>
      <c r="G769" s="2" t="s">
        <v>19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187</v>
      </c>
      <c r="G770" s="2" t="s">
        <v>19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144</v>
      </c>
      <c r="G771" s="2" t="s">
        <v>28</v>
      </c>
      <c r="H771" s="2" t="s">
        <v>215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83</v>
      </c>
      <c r="G772" s="2" t="s">
        <v>19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204</v>
      </c>
      <c r="G773" s="2" t="s">
        <v>19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20</v>
      </c>
      <c r="G774" s="2" t="s">
        <v>19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482</v>
      </c>
      <c r="G775" s="2" t="s">
        <v>318</v>
      </c>
      <c r="H775" s="2" t="s">
        <v>359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271</v>
      </c>
      <c r="G776" s="2" t="s">
        <v>19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58</v>
      </c>
      <c r="G777" s="2" t="s">
        <v>19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52</v>
      </c>
      <c r="G778" s="2" t="s">
        <v>19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316</v>
      </c>
      <c r="G779" s="2" t="s">
        <v>19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183</v>
      </c>
      <c r="G780" s="2" t="s">
        <v>19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209</v>
      </c>
      <c r="G781" s="2" t="s">
        <v>19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33</v>
      </c>
      <c r="G782" s="2" t="s">
        <v>19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259</v>
      </c>
      <c r="G783" s="2" t="s">
        <v>19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480</v>
      </c>
      <c r="G784" s="2" t="s">
        <v>318</v>
      </c>
      <c r="H784" s="2" t="s">
        <v>341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137</v>
      </c>
      <c r="G785" s="2" t="s">
        <v>19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130</v>
      </c>
      <c r="G786" s="2" t="s">
        <v>19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92</v>
      </c>
      <c r="G787" s="2" t="s">
        <v>19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203</v>
      </c>
      <c r="G788" s="2" t="s">
        <v>19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56</v>
      </c>
      <c r="G789" s="2" t="s">
        <v>19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405</v>
      </c>
      <c r="G790" s="2" t="s">
        <v>318</v>
      </c>
      <c r="H790" s="2" t="s">
        <v>406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38</v>
      </c>
      <c r="G791" s="2" t="s">
        <v>19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76</v>
      </c>
      <c r="G792" s="2" t="s">
        <v>19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59</v>
      </c>
      <c r="G793" s="2" t="s">
        <v>19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357</v>
      </c>
      <c r="G794" s="2" t="s">
        <v>28</v>
      </c>
      <c r="H794" s="2" t="s">
        <v>358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24</v>
      </c>
      <c r="G795" s="2" t="s">
        <v>19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278</v>
      </c>
      <c r="G796" s="2" t="s">
        <v>19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282</v>
      </c>
      <c r="G797" s="2" t="s">
        <v>19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43</v>
      </c>
      <c r="G798" s="2" t="s">
        <v>19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137</v>
      </c>
      <c r="G799" s="2" t="s">
        <v>19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98</v>
      </c>
      <c r="G800" s="2" t="s">
        <v>19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47</v>
      </c>
      <c r="G801" s="2" t="s">
        <v>19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3664</v>
      </c>
      <c r="G802" s="2" t="s">
        <v>318</v>
      </c>
      <c r="H802" s="2" t="s">
        <v>398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76</v>
      </c>
      <c r="G803" s="2" t="s">
        <v>19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458</v>
      </c>
      <c r="G804" s="2" t="s">
        <v>19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131</v>
      </c>
      <c r="G805" s="2" t="s">
        <v>19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280</v>
      </c>
      <c r="G806" s="2" t="s">
        <v>28</v>
      </c>
      <c r="H806" s="2" t="s">
        <v>310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19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248</v>
      </c>
      <c r="G808" s="2" t="s">
        <v>28</v>
      </c>
      <c r="H808" s="2" t="s">
        <v>249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373</v>
      </c>
      <c r="G809" s="2" t="s">
        <v>318</v>
      </c>
      <c r="H809" s="2" t="s">
        <v>374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132</v>
      </c>
      <c r="G810" s="2" t="s">
        <v>19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50</v>
      </c>
      <c r="G811" s="2" t="s">
        <v>19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309</v>
      </c>
      <c r="G812" s="2" t="s">
        <v>19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421</v>
      </c>
      <c r="G813" s="2" t="s">
        <v>318</v>
      </c>
      <c r="H813" s="2" t="s">
        <v>348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224</v>
      </c>
      <c r="G814" s="2" t="s">
        <v>28</v>
      </c>
      <c r="H814" s="2" t="s">
        <v>225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77</v>
      </c>
      <c r="G815" s="2" t="s">
        <v>19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47</v>
      </c>
      <c r="G816" s="2" t="s">
        <v>19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84</v>
      </c>
      <c r="G817" s="2" t="s">
        <v>19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120</v>
      </c>
      <c r="G819" s="2" t="s">
        <v>19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63</v>
      </c>
      <c r="G820" s="2" t="s">
        <v>19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47</v>
      </c>
      <c r="G821" s="2" t="s">
        <v>19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123</v>
      </c>
      <c r="G822" s="2" t="s">
        <v>19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188</v>
      </c>
      <c r="G823" s="2" t="s">
        <v>19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129</v>
      </c>
      <c r="G824" s="2" t="s">
        <v>19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74</v>
      </c>
      <c r="G825" s="2" t="s">
        <v>19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35</v>
      </c>
      <c r="G826" s="2" t="s">
        <v>19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58</v>
      </c>
      <c r="G827" s="2" t="s">
        <v>19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250</v>
      </c>
      <c r="G828" s="2" t="s">
        <v>19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47</v>
      </c>
      <c r="G829" s="2" t="s">
        <v>19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263</v>
      </c>
      <c r="G830" s="2" t="s">
        <v>19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26</v>
      </c>
      <c r="G831" s="2" t="s">
        <v>19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46</v>
      </c>
      <c r="G832" s="2" t="s">
        <v>19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77</v>
      </c>
      <c r="G833" s="2" t="s">
        <v>19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267</v>
      </c>
      <c r="G834" s="2" t="s">
        <v>19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106</v>
      </c>
      <c r="G835" s="2" t="s">
        <v>19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127</v>
      </c>
      <c r="G836" s="2" t="s">
        <v>19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126</v>
      </c>
      <c r="G837" s="2" t="s">
        <v>19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351</v>
      </c>
      <c r="G838" s="2" t="s">
        <v>19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80</v>
      </c>
      <c r="G839" s="2" t="s">
        <v>19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47</v>
      </c>
      <c r="G840" s="2" t="s">
        <v>19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207</v>
      </c>
      <c r="G841" s="2" t="s">
        <v>19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271</v>
      </c>
      <c r="G842" s="2" t="s">
        <v>19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50</v>
      </c>
      <c r="G843" s="2" t="s">
        <v>19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446</v>
      </c>
      <c r="G844" s="2" t="s">
        <v>19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164</v>
      </c>
      <c r="G845" s="2" t="s">
        <v>19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20</v>
      </c>
      <c r="G846" s="2" t="s">
        <v>19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95</v>
      </c>
      <c r="G847" s="2" t="s">
        <v>19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259</v>
      </c>
      <c r="G848" s="2" t="s">
        <v>19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119</v>
      </c>
      <c r="G849" s="2" t="s">
        <v>19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212</v>
      </c>
      <c r="G850" s="2" t="s">
        <v>19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136</v>
      </c>
      <c r="G851" s="2" t="s">
        <v>19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148</v>
      </c>
      <c r="G852" s="2" t="s">
        <v>19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237</v>
      </c>
      <c r="G853" s="2" t="s">
        <v>19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123</v>
      </c>
      <c r="G854" s="2" t="s">
        <v>19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50</v>
      </c>
      <c r="G855" s="2" t="s">
        <v>19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48</v>
      </c>
      <c r="G856" s="2" t="s">
        <v>19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313</v>
      </c>
      <c r="G857" s="2" t="s">
        <v>19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180</v>
      </c>
      <c r="G858" s="2" t="s">
        <v>28</v>
      </c>
      <c r="H858" s="2" t="s">
        <v>314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309</v>
      </c>
      <c r="G859" s="2" t="s">
        <v>19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97</v>
      </c>
      <c r="G860" s="2" t="s">
        <v>19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4511</v>
      </c>
      <c r="G861" s="2" t="s">
        <v>19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319</v>
      </c>
      <c r="G862" s="2" t="s">
        <v>19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49</v>
      </c>
      <c r="G863" s="2" t="s">
        <v>19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27</v>
      </c>
      <c r="G864" s="2" t="s">
        <v>19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92</v>
      </c>
      <c r="G865" s="2" t="s">
        <v>19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483</v>
      </c>
      <c r="G866" s="2" t="s">
        <v>318</v>
      </c>
      <c r="H866" s="2" t="s">
        <v>484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56</v>
      </c>
      <c r="G867" s="2" t="s">
        <v>19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445</v>
      </c>
      <c r="G868" s="2" t="s">
        <v>318</v>
      </c>
      <c r="H868" s="2" t="s">
        <v>388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478</v>
      </c>
      <c r="G869" s="2" t="s">
        <v>318</v>
      </c>
      <c r="H869" s="2" t="s">
        <v>479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121</v>
      </c>
      <c r="G870" s="2" t="s">
        <v>19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131</v>
      </c>
      <c r="G871" s="2" t="s">
        <v>19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347</v>
      </c>
      <c r="G872" s="2" t="s">
        <v>318</v>
      </c>
      <c r="H872" s="2" t="s">
        <v>348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28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171</v>
      </c>
      <c r="G874" s="2" t="s">
        <v>19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48</v>
      </c>
      <c r="G875" s="2" t="s">
        <v>19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63</v>
      </c>
      <c r="G876" s="2" t="s">
        <v>19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384</v>
      </c>
      <c r="G877" s="2" t="s">
        <v>318</v>
      </c>
      <c r="H877" s="2" t="s">
        <v>369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47</v>
      </c>
      <c r="G878" s="2" t="s">
        <v>19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199</v>
      </c>
      <c r="G879" s="2" t="s">
        <v>19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105</v>
      </c>
      <c r="G880" s="2" t="s">
        <v>19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157</v>
      </c>
      <c r="G881" s="2" t="s">
        <v>19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156</v>
      </c>
      <c r="G882" s="2" t="s">
        <v>19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252</v>
      </c>
      <c r="G883" s="2" t="s">
        <v>19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84</v>
      </c>
      <c r="G884" s="2" t="s">
        <v>19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90</v>
      </c>
      <c r="G885" s="2" t="s">
        <v>19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30</v>
      </c>
      <c r="G886" s="2" t="s">
        <v>19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464</v>
      </c>
      <c r="G887" s="2" t="s">
        <v>318</v>
      </c>
      <c r="H887" s="2" t="s">
        <v>321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150</v>
      </c>
      <c r="G888" s="2" t="s">
        <v>19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119</v>
      </c>
      <c r="G889" s="2" t="s">
        <v>19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150</v>
      </c>
      <c r="G890" s="2" t="s">
        <v>19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132</v>
      </c>
      <c r="G891" s="2" t="s">
        <v>19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42</v>
      </c>
      <c r="G892" s="2" t="s">
        <v>19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58</v>
      </c>
      <c r="G893" s="2" t="s">
        <v>19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305</v>
      </c>
      <c r="G894" s="2" t="s">
        <v>28</v>
      </c>
      <c r="H894" s="2" t="s">
        <v>306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108</v>
      </c>
      <c r="G895" s="2" t="s">
        <v>19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481</v>
      </c>
      <c r="G896" s="2" t="s">
        <v>318</v>
      </c>
      <c r="H896" s="2" t="s">
        <v>361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57</v>
      </c>
      <c r="G897" s="2" t="s">
        <v>19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105</v>
      </c>
      <c r="G898" s="2" t="s">
        <v>19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144</v>
      </c>
      <c r="G899" s="2" t="s">
        <v>28</v>
      </c>
      <c r="H899" s="2" t="s">
        <v>145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276</v>
      </c>
      <c r="G900" s="2" t="s">
        <v>19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437</v>
      </c>
      <c r="G901" s="2" t="s">
        <v>318</v>
      </c>
      <c r="H901" s="2" t="s">
        <v>438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409</v>
      </c>
      <c r="G902" s="2" t="s">
        <v>318</v>
      </c>
      <c r="H902" s="2" t="s">
        <v>410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63</v>
      </c>
      <c r="G903" s="2" t="s">
        <v>19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51</v>
      </c>
      <c r="G904" s="2" t="s">
        <v>19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30</v>
      </c>
      <c r="G905" s="2" t="s">
        <v>19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173</v>
      </c>
      <c r="G906" s="2" t="s">
        <v>19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50</v>
      </c>
      <c r="G907" s="2" t="s">
        <v>19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169</v>
      </c>
      <c r="G908" s="2" t="s">
        <v>19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189</v>
      </c>
      <c r="G909" s="2" t="s">
        <v>19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63</v>
      </c>
      <c r="G910" s="2" t="s">
        <v>19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31</v>
      </c>
      <c r="G911" s="2" t="s">
        <v>19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241</v>
      </c>
      <c r="G912" s="2" t="s">
        <v>19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47</v>
      </c>
      <c r="G913" s="2" t="s">
        <v>19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198</v>
      </c>
      <c r="G914" s="2" t="s">
        <v>19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126</v>
      </c>
      <c r="G915" s="2" t="s">
        <v>19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187</v>
      </c>
      <c r="G916" s="2" t="s">
        <v>19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205</v>
      </c>
      <c r="G917" s="2" t="s">
        <v>19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2998</v>
      </c>
      <c r="G918" s="2" t="s">
        <v>318</v>
      </c>
      <c r="H918" s="2" t="s">
        <v>395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220</v>
      </c>
      <c r="G919" s="2" t="s">
        <v>28</v>
      </c>
      <c r="H919" s="2" t="s">
        <v>221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209</v>
      </c>
      <c r="G920" s="2" t="s">
        <v>19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43</v>
      </c>
      <c r="G921" s="2" t="s">
        <v>19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183</v>
      </c>
      <c r="G922" s="2" t="s">
        <v>19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169</v>
      </c>
      <c r="G923" s="2" t="s">
        <v>19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168</v>
      </c>
      <c r="G924" s="2" t="s">
        <v>19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123</v>
      </c>
      <c r="G925" s="2" t="s">
        <v>19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80</v>
      </c>
      <c r="G926" s="2" t="s">
        <v>19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87</v>
      </c>
      <c r="G927" s="2" t="s">
        <v>19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47</v>
      </c>
      <c r="G928" s="2" t="s">
        <v>19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189</v>
      </c>
      <c r="G929" s="2" t="s">
        <v>19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57</v>
      </c>
      <c r="G930" s="2" t="s">
        <v>19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47</v>
      </c>
      <c r="G931" s="2" t="s">
        <v>19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47</v>
      </c>
      <c r="G932" s="2" t="s">
        <v>19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313</v>
      </c>
      <c r="G933" s="2" t="s">
        <v>19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92</v>
      </c>
      <c r="G934" s="2" t="s">
        <v>19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77</v>
      </c>
      <c r="G935" s="2" t="s">
        <v>19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156</v>
      </c>
      <c r="G936" s="2" t="s">
        <v>19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187</v>
      </c>
      <c r="G937" s="2" t="s">
        <v>19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87</v>
      </c>
      <c r="G938" s="2" t="s">
        <v>19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56</v>
      </c>
      <c r="G939" s="2" t="s">
        <v>19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63</v>
      </c>
      <c r="G940" s="2" t="s">
        <v>19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227</v>
      </c>
      <c r="G941" s="2" t="s">
        <v>19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47</v>
      </c>
      <c r="G942" s="2" t="s">
        <v>19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318</v>
      </c>
      <c r="H943" s="2" t="s">
        <v>462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167</v>
      </c>
      <c r="G944" s="2" t="s">
        <v>19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175</v>
      </c>
      <c r="G945" s="2" t="s">
        <v>19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134</v>
      </c>
      <c r="G946" s="2" t="s">
        <v>19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50</v>
      </c>
      <c r="G947" s="2" t="s">
        <v>19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144</v>
      </c>
      <c r="G948" s="2" t="s">
        <v>19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320</v>
      </c>
      <c r="G949" s="2" t="s">
        <v>318</v>
      </c>
      <c r="H949" s="2" t="s">
        <v>321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180</v>
      </c>
      <c r="G950" s="2" t="s">
        <v>28</v>
      </c>
      <c r="H950" s="2" t="s">
        <v>262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489</v>
      </c>
      <c r="G951" s="2" t="s">
        <v>318</v>
      </c>
      <c r="H951" s="2" t="s">
        <v>448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168</v>
      </c>
      <c r="G952" s="2" t="s">
        <v>19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172</v>
      </c>
      <c r="G953" s="2" t="s">
        <v>19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318</v>
      </c>
      <c r="H954" s="2" t="s">
        <v>462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50</v>
      </c>
      <c r="G955" s="2" t="s">
        <v>19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104</v>
      </c>
      <c r="G956" s="2" t="s">
        <v>19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4511</v>
      </c>
      <c r="G957" s="2" t="s">
        <v>19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130</v>
      </c>
      <c r="G958" s="2" t="s">
        <v>19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47</v>
      </c>
      <c r="G959" s="2" t="s">
        <v>19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182</v>
      </c>
      <c r="G960" s="2" t="s">
        <v>19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88</v>
      </c>
      <c r="G961" s="2" t="s">
        <v>19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261</v>
      </c>
      <c r="G962" s="2" t="s">
        <v>19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198</v>
      </c>
      <c r="G963" s="2" t="s">
        <v>19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453</v>
      </c>
      <c r="G964" s="2" t="s">
        <v>318</v>
      </c>
      <c r="H964" s="2" t="s">
        <v>454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43</v>
      </c>
      <c r="G965" s="2" t="s">
        <v>19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58</v>
      </c>
      <c r="G966" s="2" t="s">
        <v>19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27</v>
      </c>
      <c r="G967" s="2" t="s">
        <v>19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139</v>
      </c>
      <c r="G968" s="2" t="s">
        <v>19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353</v>
      </c>
      <c r="G969" s="2" t="s">
        <v>318</v>
      </c>
      <c r="H969" s="2" t="s">
        <v>348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293</v>
      </c>
      <c r="G970" s="2" t="s">
        <v>19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209</v>
      </c>
      <c r="G971" s="2" t="s">
        <v>19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240</v>
      </c>
      <c r="G972" s="2" t="s">
        <v>19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106</v>
      </c>
      <c r="G973" s="2" t="s">
        <v>19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331</v>
      </c>
      <c r="G974" s="2" t="s">
        <v>318</v>
      </c>
      <c r="H974" s="2" t="s">
        <v>332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250</v>
      </c>
      <c r="G975" s="2" t="s">
        <v>19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134</v>
      </c>
      <c r="G976" s="2" t="s">
        <v>19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485</v>
      </c>
      <c r="G977" s="2" t="s">
        <v>318</v>
      </c>
      <c r="H977" s="2" t="s">
        <v>442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66</v>
      </c>
      <c r="G978" s="2" t="s">
        <v>19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240</v>
      </c>
      <c r="G979" s="2" t="s">
        <v>19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47</v>
      </c>
      <c r="G980" s="2" t="s">
        <v>19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312</v>
      </c>
      <c r="G981" s="2" t="s">
        <v>19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231</v>
      </c>
      <c r="G982" s="2" t="s">
        <v>19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226</v>
      </c>
      <c r="G983" s="2" t="s">
        <v>19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190</v>
      </c>
      <c r="G984" s="2" t="s">
        <v>19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39</v>
      </c>
      <c r="G985" s="2" t="s">
        <v>19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407</v>
      </c>
      <c r="G986" s="2" t="s">
        <v>318</v>
      </c>
      <c r="H986" s="2" t="s">
        <v>404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133</v>
      </c>
      <c r="G987" s="2" t="s">
        <v>19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147</v>
      </c>
      <c r="G988" s="2" t="s">
        <v>19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251</v>
      </c>
      <c r="G989" s="2" t="s">
        <v>28</v>
      </c>
      <c r="H989" s="2" t="s">
        <v>114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367</v>
      </c>
      <c r="G990" s="2" t="s">
        <v>28</v>
      </c>
      <c r="H990" s="2" t="s">
        <v>368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104</v>
      </c>
      <c r="G991" s="2" t="s">
        <v>19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290</v>
      </c>
      <c r="G992" s="2" t="s">
        <v>19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65</v>
      </c>
      <c r="G993" s="2" t="s">
        <v>19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488</v>
      </c>
      <c r="G994" s="2" t="s">
        <v>318</v>
      </c>
      <c r="H994" s="2" t="s">
        <v>363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46</v>
      </c>
      <c r="G995" s="2" t="s">
        <v>19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465</v>
      </c>
      <c r="G996" s="2" t="s">
        <v>318</v>
      </c>
      <c r="H996" s="2" t="s">
        <v>383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52</v>
      </c>
      <c r="G997" s="2" t="s">
        <v>19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4511</v>
      </c>
      <c r="G998" s="2" t="s">
        <v>19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78</v>
      </c>
      <c r="G999" s="2" t="s">
        <v>19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146</v>
      </c>
      <c r="G1000" s="2" t="s">
        <v>19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180</v>
      </c>
      <c r="G1001" s="2" t="s">
        <v>28</v>
      </c>
      <c r="H1001" s="2" t="s">
        <v>301</v>
      </c>
      <c r="I1001" t="s">
        <v>6189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Totalsales</vt:lpstr>
      <vt:lpstr>avgsalespermonth</vt:lpstr>
      <vt:lpstr>salesbycountry</vt:lpstr>
      <vt:lpstr>salesbycountry (2)</vt:lpstr>
      <vt:lpstr>unitpricebycountry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jubin k</cp:lastModifiedBy>
  <cp:revision/>
  <dcterms:created xsi:type="dcterms:W3CDTF">2022-11-26T09:51:45Z</dcterms:created>
  <dcterms:modified xsi:type="dcterms:W3CDTF">2026-02-10T10:25:06Z</dcterms:modified>
  <cp:category/>
  <cp:contentStatus/>
</cp:coreProperties>
</file>